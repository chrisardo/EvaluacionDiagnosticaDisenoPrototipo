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os\DREL_DGP\"/>
    </mc:Choice>
  </mc:AlternateContent>
  <xr:revisionPtr revIDLastSave="0" documentId="13_ncr:1_{C7EDB5CE-9AE5-44AC-9BA8-BFC6477D9459}" xr6:coauthVersionLast="47" xr6:coauthVersionMax="47" xr10:uidLastSave="{00000000-0000-0000-0000-000000000000}"/>
  <bookViews>
    <workbookView xWindow="-108" yWindow="-108" windowWidth="23256" windowHeight="12456" tabRatio="825" activeTab="5" xr2:uid="{00000000-000D-0000-FFFF-FFFF00000000}"/>
  </bookViews>
  <sheets>
    <sheet name="registro de lectura" sheetId="2" r:id="rId1"/>
    <sheet name="resumen estadistico Lectura" sheetId="4" r:id="rId2"/>
    <sheet name="registro de matemática" sheetId="6" r:id="rId3"/>
    <sheet name="resumen estadistico matematica" sheetId="10" r:id="rId4"/>
    <sheet name="DIRECTOR LECTURA" sheetId="9" r:id="rId5"/>
    <sheet name="DIRECTOR MATEMATICA" sheetId="11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1" l="1"/>
  <c r="E11" i="11"/>
  <c r="D11" i="11"/>
  <c r="C11" i="11"/>
  <c r="F10" i="11"/>
  <c r="E10" i="11"/>
  <c r="D10" i="11"/>
  <c r="C10" i="11"/>
  <c r="F9" i="11"/>
  <c r="E9" i="11"/>
  <c r="D9" i="11"/>
  <c r="C9" i="11"/>
  <c r="F8" i="11"/>
  <c r="C8" i="11"/>
  <c r="E8" i="11"/>
  <c r="D8" i="11"/>
  <c r="C5" i="11"/>
  <c r="C6" i="11"/>
  <c r="F10" i="9"/>
  <c r="E10" i="9"/>
  <c r="D10" i="9"/>
  <c r="F9" i="9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81" i="2"/>
  <c r="B80" i="2"/>
  <c r="G73" i="6"/>
  <c r="F73" i="6"/>
  <c r="E73" i="6"/>
  <c r="U73" i="6"/>
  <c r="T73" i="6"/>
  <c r="Q73" i="6"/>
  <c r="P73" i="6"/>
  <c r="O73" i="6"/>
  <c r="L73" i="6"/>
  <c r="K73" i="6"/>
  <c r="J73" i="6"/>
  <c r="N74" i="6"/>
  <c r="R74" i="6" s="1"/>
  <c r="O74" i="6"/>
  <c r="P74" i="6"/>
  <c r="Q74" i="6"/>
  <c r="S74" i="6"/>
  <c r="W74" i="6" s="1"/>
  <c r="T74" i="6"/>
  <c r="U74" i="6"/>
  <c r="V74" i="6"/>
  <c r="N75" i="6"/>
  <c r="R75" i="6" s="1"/>
  <c r="O75" i="6"/>
  <c r="P75" i="6"/>
  <c r="Q75" i="6"/>
  <c r="S75" i="6"/>
  <c r="W75" i="6" s="1"/>
  <c r="T75" i="6"/>
  <c r="U75" i="6"/>
  <c r="V75" i="6"/>
  <c r="N76" i="6"/>
  <c r="R76" i="6" s="1"/>
  <c r="O76" i="6"/>
  <c r="P76" i="6"/>
  <c r="Q76" i="6"/>
  <c r="S76" i="6"/>
  <c r="W76" i="6" s="1"/>
  <c r="T76" i="6"/>
  <c r="U76" i="6"/>
  <c r="V76" i="6"/>
  <c r="N77" i="6"/>
  <c r="R77" i="6" s="1"/>
  <c r="O77" i="6"/>
  <c r="P77" i="6"/>
  <c r="Q77" i="6"/>
  <c r="S77" i="6"/>
  <c r="W77" i="6" s="1"/>
  <c r="T77" i="6"/>
  <c r="U77" i="6"/>
  <c r="V77" i="6"/>
  <c r="N78" i="6"/>
  <c r="R78" i="6" s="1"/>
  <c r="O78" i="6"/>
  <c r="P78" i="6"/>
  <c r="Q78" i="6"/>
  <c r="S78" i="6"/>
  <c r="W78" i="6" s="1"/>
  <c r="T78" i="6"/>
  <c r="U78" i="6"/>
  <c r="V78" i="6"/>
  <c r="N79" i="6"/>
  <c r="R79" i="6" s="1"/>
  <c r="O79" i="6"/>
  <c r="P79" i="6"/>
  <c r="Q79" i="6"/>
  <c r="S79" i="6"/>
  <c r="W79" i="6" s="1"/>
  <c r="T79" i="6"/>
  <c r="U79" i="6"/>
  <c r="V79" i="6"/>
  <c r="N80" i="6"/>
  <c r="R80" i="6" s="1"/>
  <c r="O80" i="6"/>
  <c r="P80" i="6"/>
  <c r="Q80" i="6"/>
  <c r="S80" i="6"/>
  <c r="W80" i="6" s="1"/>
  <c r="T80" i="6"/>
  <c r="U80" i="6"/>
  <c r="V80" i="6"/>
  <c r="N81" i="6"/>
  <c r="R81" i="6" s="1"/>
  <c r="O81" i="6"/>
  <c r="P81" i="6"/>
  <c r="Q81" i="6"/>
  <c r="S81" i="6"/>
  <c r="W81" i="6" s="1"/>
  <c r="T81" i="6"/>
  <c r="U81" i="6"/>
  <c r="V81" i="6"/>
  <c r="N82" i="6"/>
  <c r="R82" i="6" s="1"/>
  <c r="O82" i="6"/>
  <c r="P82" i="6"/>
  <c r="Q82" i="6"/>
  <c r="S82" i="6"/>
  <c r="W82" i="6" s="1"/>
  <c r="T82" i="6"/>
  <c r="U82" i="6"/>
  <c r="V82" i="6"/>
  <c r="N83" i="6"/>
  <c r="R83" i="6" s="1"/>
  <c r="O83" i="6"/>
  <c r="P83" i="6"/>
  <c r="Q83" i="6"/>
  <c r="S83" i="6"/>
  <c r="W83" i="6" s="1"/>
  <c r="T83" i="6"/>
  <c r="U83" i="6"/>
  <c r="V83" i="6"/>
  <c r="N84" i="6"/>
  <c r="R84" i="6" s="1"/>
  <c r="O84" i="6"/>
  <c r="P84" i="6"/>
  <c r="Q84" i="6"/>
  <c r="S84" i="6"/>
  <c r="W84" i="6" s="1"/>
  <c r="T84" i="6"/>
  <c r="U84" i="6"/>
  <c r="V84" i="6"/>
  <c r="N85" i="6"/>
  <c r="R85" i="6" s="1"/>
  <c r="O85" i="6"/>
  <c r="P85" i="6"/>
  <c r="Q85" i="6"/>
  <c r="S85" i="6"/>
  <c r="W85" i="6" s="1"/>
  <c r="T85" i="6"/>
  <c r="U85" i="6"/>
  <c r="V85" i="6"/>
  <c r="N86" i="6"/>
  <c r="R86" i="6" s="1"/>
  <c r="O86" i="6"/>
  <c r="P86" i="6"/>
  <c r="Q86" i="6"/>
  <c r="S86" i="6"/>
  <c r="W86" i="6" s="1"/>
  <c r="T86" i="6"/>
  <c r="U86" i="6"/>
  <c r="V86" i="6"/>
  <c r="N87" i="6"/>
  <c r="R87" i="6" s="1"/>
  <c r="O87" i="6"/>
  <c r="P87" i="6"/>
  <c r="Q87" i="6"/>
  <c r="S87" i="6"/>
  <c r="W87" i="6" s="1"/>
  <c r="T87" i="6"/>
  <c r="U87" i="6"/>
  <c r="V87" i="6"/>
  <c r="N88" i="6"/>
  <c r="R88" i="6" s="1"/>
  <c r="O88" i="6"/>
  <c r="P88" i="6"/>
  <c r="Q88" i="6"/>
  <c r="S88" i="6"/>
  <c r="W88" i="6" s="1"/>
  <c r="T88" i="6"/>
  <c r="U88" i="6"/>
  <c r="V88" i="6"/>
  <c r="N89" i="6"/>
  <c r="R89" i="6" s="1"/>
  <c r="O89" i="6"/>
  <c r="P89" i="6"/>
  <c r="Q89" i="6"/>
  <c r="S89" i="6"/>
  <c r="W89" i="6" s="1"/>
  <c r="T89" i="6"/>
  <c r="U89" i="6"/>
  <c r="V89" i="6"/>
  <c r="N90" i="6"/>
  <c r="R90" i="6" s="1"/>
  <c r="O90" i="6"/>
  <c r="P90" i="6"/>
  <c r="Q90" i="6"/>
  <c r="S90" i="6"/>
  <c r="W90" i="6" s="1"/>
  <c r="T90" i="6"/>
  <c r="U90" i="6"/>
  <c r="V90" i="6"/>
  <c r="N91" i="6"/>
  <c r="R91" i="6" s="1"/>
  <c r="O91" i="6"/>
  <c r="P91" i="6"/>
  <c r="Q91" i="6"/>
  <c r="S91" i="6"/>
  <c r="W91" i="6" s="1"/>
  <c r="T91" i="6"/>
  <c r="U91" i="6"/>
  <c r="V91" i="6"/>
  <c r="N92" i="6"/>
  <c r="R92" i="6" s="1"/>
  <c r="O92" i="6"/>
  <c r="P92" i="6"/>
  <c r="Q92" i="6"/>
  <c r="S92" i="6"/>
  <c r="W92" i="6" s="1"/>
  <c r="T92" i="6"/>
  <c r="U92" i="6"/>
  <c r="V92" i="6"/>
  <c r="N93" i="6"/>
  <c r="R93" i="6" s="1"/>
  <c r="O93" i="6"/>
  <c r="P93" i="6"/>
  <c r="Q93" i="6"/>
  <c r="S93" i="6"/>
  <c r="W93" i="6" s="1"/>
  <c r="T93" i="6"/>
  <c r="U93" i="6"/>
  <c r="V93" i="6"/>
  <c r="N94" i="6"/>
  <c r="R94" i="6" s="1"/>
  <c r="O94" i="6"/>
  <c r="P94" i="6"/>
  <c r="Q94" i="6"/>
  <c r="S94" i="6"/>
  <c r="W94" i="6" s="1"/>
  <c r="T94" i="6"/>
  <c r="U94" i="6"/>
  <c r="V94" i="6"/>
  <c r="N95" i="6"/>
  <c r="R95" i="6" s="1"/>
  <c r="O95" i="6"/>
  <c r="P95" i="6"/>
  <c r="Q95" i="6"/>
  <c r="S95" i="6"/>
  <c r="W95" i="6" s="1"/>
  <c r="T95" i="6"/>
  <c r="U95" i="6"/>
  <c r="V95" i="6"/>
  <c r="N96" i="6"/>
  <c r="R96" i="6" s="1"/>
  <c r="O96" i="6"/>
  <c r="P96" i="6"/>
  <c r="Q96" i="6"/>
  <c r="S96" i="6"/>
  <c r="W96" i="6" s="1"/>
  <c r="T96" i="6"/>
  <c r="U96" i="6"/>
  <c r="V96" i="6"/>
  <c r="N97" i="6"/>
  <c r="R97" i="6" s="1"/>
  <c r="O97" i="6"/>
  <c r="P97" i="6"/>
  <c r="Q97" i="6"/>
  <c r="S97" i="6"/>
  <c r="W97" i="6" s="1"/>
  <c r="T97" i="6"/>
  <c r="U97" i="6"/>
  <c r="V97" i="6"/>
  <c r="N98" i="6"/>
  <c r="R98" i="6" s="1"/>
  <c r="O98" i="6"/>
  <c r="P98" i="6"/>
  <c r="Q98" i="6"/>
  <c r="S98" i="6"/>
  <c r="W98" i="6" s="1"/>
  <c r="T98" i="6"/>
  <c r="U98" i="6"/>
  <c r="V98" i="6"/>
  <c r="N99" i="6"/>
  <c r="R99" i="6" s="1"/>
  <c r="O99" i="6"/>
  <c r="P99" i="6"/>
  <c r="Q99" i="6"/>
  <c r="S99" i="6"/>
  <c r="W99" i="6" s="1"/>
  <c r="T99" i="6"/>
  <c r="U99" i="6"/>
  <c r="V99" i="6"/>
  <c r="N100" i="6"/>
  <c r="R100" i="6" s="1"/>
  <c r="O100" i="6"/>
  <c r="P100" i="6"/>
  <c r="Q100" i="6"/>
  <c r="S100" i="6"/>
  <c r="W100" i="6" s="1"/>
  <c r="T100" i="6"/>
  <c r="U100" i="6"/>
  <c r="V100" i="6"/>
  <c r="N101" i="6"/>
  <c r="R101" i="6" s="1"/>
  <c r="O101" i="6"/>
  <c r="P101" i="6"/>
  <c r="Q101" i="6"/>
  <c r="S101" i="6"/>
  <c r="W101" i="6" s="1"/>
  <c r="T101" i="6"/>
  <c r="U101" i="6"/>
  <c r="V101" i="6"/>
  <c r="N102" i="6"/>
  <c r="R102" i="6" s="1"/>
  <c r="O102" i="6"/>
  <c r="P102" i="6"/>
  <c r="Q102" i="6"/>
  <c r="S102" i="6"/>
  <c r="W102" i="6" s="1"/>
  <c r="T102" i="6"/>
  <c r="U102" i="6"/>
  <c r="V102" i="6"/>
  <c r="N103" i="6"/>
  <c r="R103" i="6" s="1"/>
  <c r="O103" i="6"/>
  <c r="P103" i="6"/>
  <c r="Q103" i="6"/>
  <c r="S103" i="6"/>
  <c r="W103" i="6" s="1"/>
  <c r="T103" i="6"/>
  <c r="U103" i="6"/>
  <c r="V103" i="6"/>
  <c r="N104" i="6"/>
  <c r="R104" i="6" s="1"/>
  <c r="O104" i="6"/>
  <c r="P104" i="6"/>
  <c r="Q104" i="6"/>
  <c r="S104" i="6"/>
  <c r="W104" i="6" s="1"/>
  <c r="T104" i="6"/>
  <c r="U104" i="6"/>
  <c r="V104" i="6"/>
  <c r="N105" i="6"/>
  <c r="R105" i="6" s="1"/>
  <c r="O105" i="6"/>
  <c r="P105" i="6"/>
  <c r="Q105" i="6"/>
  <c r="S105" i="6"/>
  <c r="W105" i="6" s="1"/>
  <c r="T105" i="6"/>
  <c r="U105" i="6"/>
  <c r="V105" i="6"/>
  <c r="N106" i="6"/>
  <c r="R106" i="6" s="1"/>
  <c r="O106" i="6"/>
  <c r="P106" i="6"/>
  <c r="Q106" i="6"/>
  <c r="S106" i="6"/>
  <c r="W106" i="6" s="1"/>
  <c r="T106" i="6"/>
  <c r="U106" i="6"/>
  <c r="V106" i="6"/>
  <c r="N107" i="6"/>
  <c r="R107" i="6" s="1"/>
  <c r="O107" i="6"/>
  <c r="P107" i="6"/>
  <c r="Q107" i="6"/>
  <c r="S107" i="6"/>
  <c r="W107" i="6" s="1"/>
  <c r="T107" i="6"/>
  <c r="U107" i="6"/>
  <c r="V107" i="6"/>
  <c r="N108" i="6"/>
  <c r="R108" i="6" s="1"/>
  <c r="O108" i="6"/>
  <c r="P108" i="6"/>
  <c r="Q108" i="6"/>
  <c r="S108" i="6"/>
  <c r="W108" i="6" s="1"/>
  <c r="T108" i="6"/>
  <c r="U108" i="6"/>
  <c r="V108" i="6"/>
  <c r="N109" i="6"/>
  <c r="R109" i="6" s="1"/>
  <c r="O109" i="6"/>
  <c r="P109" i="6"/>
  <c r="Q109" i="6"/>
  <c r="S109" i="6"/>
  <c r="W109" i="6" s="1"/>
  <c r="T109" i="6"/>
  <c r="U109" i="6"/>
  <c r="V109" i="6"/>
  <c r="N110" i="6"/>
  <c r="R110" i="6" s="1"/>
  <c r="O110" i="6"/>
  <c r="P110" i="6"/>
  <c r="Q110" i="6"/>
  <c r="S110" i="6"/>
  <c r="W110" i="6" s="1"/>
  <c r="T110" i="6"/>
  <c r="U110" i="6"/>
  <c r="V110" i="6"/>
  <c r="N111" i="6"/>
  <c r="R111" i="6" s="1"/>
  <c r="O111" i="6"/>
  <c r="P111" i="6"/>
  <c r="Q111" i="6"/>
  <c r="S111" i="6"/>
  <c r="W111" i="6" s="1"/>
  <c r="T111" i="6"/>
  <c r="U111" i="6"/>
  <c r="V111" i="6"/>
  <c r="N112" i="6"/>
  <c r="R112" i="6" s="1"/>
  <c r="O112" i="6"/>
  <c r="P112" i="6"/>
  <c r="Q112" i="6"/>
  <c r="S112" i="6"/>
  <c r="W112" i="6" s="1"/>
  <c r="T112" i="6"/>
  <c r="U112" i="6"/>
  <c r="V112" i="6"/>
  <c r="S73" i="6"/>
  <c r="W73" i="6" s="1"/>
  <c r="N73" i="6"/>
  <c r="R73" i="6" s="1"/>
  <c r="I74" i="6"/>
  <c r="M74" i="6" s="1"/>
  <c r="J74" i="6"/>
  <c r="K74" i="6"/>
  <c r="L74" i="6"/>
  <c r="I75" i="6"/>
  <c r="M75" i="6" s="1"/>
  <c r="J75" i="6"/>
  <c r="K75" i="6"/>
  <c r="L75" i="6"/>
  <c r="I76" i="6"/>
  <c r="M76" i="6" s="1"/>
  <c r="J76" i="6"/>
  <c r="K76" i="6"/>
  <c r="L76" i="6"/>
  <c r="I77" i="6"/>
  <c r="M77" i="6" s="1"/>
  <c r="J77" i="6"/>
  <c r="K77" i="6"/>
  <c r="L77" i="6"/>
  <c r="I78" i="6"/>
  <c r="M78" i="6" s="1"/>
  <c r="J78" i="6"/>
  <c r="K78" i="6"/>
  <c r="L78" i="6"/>
  <c r="I79" i="6"/>
  <c r="M79" i="6" s="1"/>
  <c r="J79" i="6"/>
  <c r="K79" i="6"/>
  <c r="L79" i="6"/>
  <c r="I80" i="6"/>
  <c r="M80" i="6" s="1"/>
  <c r="J80" i="6"/>
  <c r="K80" i="6"/>
  <c r="L80" i="6"/>
  <c r="I81" i="6"/>
  <c r="M81" i="6" s="1"/>
  <c r="J81" i="6"/>
  <c r="K81" i="6"/>
  <c r="L81" i="6"/>
  <c r="I82" i="6"/>
  <c r="M82" i="6" s="1"/>
  <c r="J82" i="6"/>
  <c r="K82" i="6"/>
  <c r="L82" i="6"/>
  <c r="I83" i="6"/>
  <c r="M83" i="6" s="1"/>
  <c r="J83" i="6"/>
  <c r="K83" i="6"/>
  <c r="L83" i="6"/>
  <c r="I84" i="6"/>
  <c r="M84" i="6" s="1"/>
  <c r="J84" i="6"/>
  <c r="K84" i="6"/>
  <c r="L84" i="6"/>
  <c r="I85" i="6"/>
  <c r="M85" i="6" s="1"/>
  <c r="J85" i="6"/>
  <c r="K85" i="6"/>
  <c r="L85" i="6"/>
  <c r="I86" i="6"/>
  <c r="M86" i="6" s="1"/>
  <c r="J86" i="6"/>
  <c r="K86" i="6"/>
  <c r="L86" i="6"/>
  <c r="I87" i="6"/>
  <c r="M87" i="6" s="1"/>
  <c r="J87" i="6"/>
  <c r="K87" i="6"/>
  <c r="L87" i="6"/>
  <c r="I88" i="6"/>
  <c r="M88" i="6" s="1"/>
  <c r="J88" i="6"/>
  <c r="K88" i="6"/>
  <c r="L88" i="6"/>
  <c r="I89" i="6"/>
  <c r="M89" i="6" s="1"/>
  <c r="J89" i="6"/>
  <c r="K89" i="6"/>
  <c r="L89" i="6"/>
  <c r="I90" i="6"/>
  <c r="M90" i="6" s="1"/>
  <c r="J90" i="6"/>
  <c r="K90" i="6"/>
  <c r="L90" i="6"/>
  <c r="I91" i="6"/>
  <c r="M91" i="6" s="1"/>
  <c r="J91" i="6"/>
  <c r="K91" i="6"/>
  <c r="L91" i="6"/>
  <c r="I92" i="6"/>
  <c r="M92" i="6" s="1"/>
  <c r="J92" i="6"/>
  <c r="K92" i="6"/>
  <c r="L92" i="6"/>
  <c r="I93" i="6"/>
  <c r="M93" i="6" s="1"/>
  <c r="J93" i="6"/>
  <c r="K93" i="6"/>
  <c r="L93" i="6"/>
  <c r="I94" i="6"/>
  <c r="M94" i="6" s="1"/>
  <c r="J94" i="6"/>
  <c r="K94" i="6"/>
  <c r="L94" i="6"/>
  <c r="I95" i="6"/>
  <c r="M95" i="6" s="1"/>
  <c r="J95" i="6"/>
  <c r="K95" i="6"/>
  <c r="L95" i="6"/>
  <c r="I96" i="6"/>
  <c r="M96" i="6" s="1"/>
  <c r="J96" i="6"/>
  <c r="K96" i="6"/>
  <c r="L96" i="6"/>
  <c r="I97" i="6"/>
  <c r="M97" i="6" s="1"/>
  <c r="J97" i="6"/>
  <c r="K97" i="6"/>
  <c r="L97" i="6"/>
  <c r="I98" i="6"/>
  <c r="M98" i="6" s="1"/>
  <c r="J98" i="6"/>
  <c r="K98" i="6"/>
  <c r="L98" i="6"/>
  <c r="I99" i="6"/>
  <c r="M99" i="6" s="1"/>
  <c r="J99" i="6"/>
  <c r="K99" i="6"/>
  <c r="L99" i="6"/>
  <c r="I100" i="6"/>
  <c r="M100" i="6" s="1"/>
  <c r="J100" i="6"/>
  <c r="K100" i="6"/>
  <c r="L100" i="6"/>
  <c r="I101" i="6"/>
  <c r="M101" i="6" s="1"/>
  <c r="J101" i="6"/>
  <c r="K101" i="6"/>
  <c r="L101" i="6"/>
  <c r="I102" i="6"/>
  <c r="M102" i="6" s="1"/>
  <c r="J102" i="6"/>
  <c r="K102" i="6"/>
  <c r="L102" i="6"/>
  <c r="I103" i="6"/>
  <c r="M103" i="6" s="1"/>
  <c r="J103" i="6"/>
  <c r="K103" i="6"/>
  <c r="L103" i="6"/>
  <c r="I104" i="6"/>
  <c r="M104" i="6" s="1"/>
  <c r="J104" i="6"/>
  <c r="K104" i="6"/>
  <c r="L104" i="6"/>
  <c r="I105" i="6"/>
  <c r="M105" i="6" s="1"/>
  <c r="J105" i="6"/>
  <c r="K105" i="6"/>
  <c r="L105" i="6"/>
  <c r="I106" i="6"/>
  <c r="M106" i="6" s="1"/>
  <c r="J106" i="6"/>
  <c r="K106" i="6"/>
  <c r="L106" i="6"/>
  <c r="I107" i="6"/>
  <c r="M107" i="6" s="1"/>
  <c r="J107" i="6"/>
  <c r="K107" i="6"/>
  <c r="L107" i="6"/>
  <c r="I108" i="6"/>
  <c r="M108" i="6" s="1"/>
  <c r="J108" i="6"/>
  <c r="K108" i="6"/>
  <c r="L108" i="6"/>
  <c r="I109" i="6"/>
  <c r="M109" i="6" s="1"/>
  <c r="J109" i="6"/>
  <c r="K109" i="6"/>
  <c r="L109" i="6"/>
  <c r="I110" i="6"/>
  <c r="M110" i="6" s="1"/>
  <c r="J110" i="6"/>
  <c r="K110" i="6"/>
  <c r="L110" i="6"/>
  <c r="I111" i="6"/>
  <c r="M111" i="6" s="1"/>
  <c r="J111" i="6"/>
  <c r="K111" i="6"/>
  <c r="L111" i="6"/>
  <c r="I112" i="6"/>
  <c r="M112" i="6" s="1"/>
  <c r="J112" i="6"/>
  <c r="K112" i="6"/>
  <c r="L112" i="6"/>
  <c r="I73" i="6"/>
  <c r="M73" i="6" s="1"/>
  <c r="D74" i="6"/>
  <c r="H74" i="6" s="1"/>
  <c r="E74" i="6"/>
  <c r="F74" i="6"/>
  <c r="G74" i="6"/>
  <c r="D75" i="6"/>
  <c r="H75" i="6" s="1"/>
  <c r="E75" i="6"/>
  <c r="F75" i="6"/>
  <c r="G75" i="6"/>
  <c r="D76" i="6"/>
  <c r="H76" i="6" s="1"/>
  <c r="E76" i="6"/>
  <c r="F76" i="6"/>
  <c r="G76" i="6"/>
  <c r="D77" i="6"/>
  <c r="H77" i="6" s="1"/>
  <c r="E77" i="6"/>
  <c r="F77" i="6"/>
  <c r="G77" i="6"/>
  <c r="D78" i="6"/>
  <c r="H78" i="6" s="1"/>
  <c r="E78" i="6"/>
  <c r="F78" i="6"/>
  <c r="G78" i="6"/>
  <c r="D79" i="6"/>
  <c r="H79" i="6" s="1"/>
  <c r="E79" i="6"/>
  <c r="F79" i="6"/>
  <c r="G79" i="6"/>
  <c r="D80" i="6"/>
  <c r="H80" i="6" s="1"/>
  <c r="E80" i="6"/>
  <c r="F80" i="6"/>
  <c r="G80" i="6"/>
  <c r="D81" i="6"/>
  <c r="H81" i="6" s="1"/>
  <c r="E81" i="6"/>
  <c r="F81" i="6"/>
  <c r="G81" i="6"/>
  <c r="D82" i="6"/>
  <c r="H82" i="6" s="1"/>
  <c r="E82" i="6"/>
  <c r="F82" i="6"/>
  <c r="G82" i="6"/>
  <c r="D83" i="6"/>
  <c r="H83" i="6" s="1"/>
  <c r="E83" i="6"/>
  <c r="F83" i="6"/>
  <c r="G83" i="6"/>
  <c r="D84" i="6"/>
  <c r="H84" i="6" s="1"/>
  <c r="E84" i="6"/>
  <c r="F84" i="6"/>
  <c r="G84" i="6"/>
  <c r="D85" i="6"/>
  <c r="H85" i="6" s="1"/>
  <c r="E85" i="6"/>
  <c r="F85" i="6"/>
  <c r="G85" i="6"/>
  <c r="D86" i="6"/>
  <c r="H86" i="6" s="1"/>
  <c r="E86" i="6"/>
  <c r="F86" i="6"/>
  <c r="G86" i="6"/>
  <c r="D87" i="6"/>
  <c r="H87" i="6" s="1"/>
  <c r="E87" i="6"/>
  <c r="F87" i="6"/>
  <c r="G87" i="6"/>
  <c r="D88" i="6"/>
  <c r="H88" i="6" s="1"/>
  <c r="E88" i="6"/>
  <c r="F88" i="6"/>
  <c r="G88" i="6"/>
  <c r="D89" i="6"/>
  <c r="H89" i="6" s="1"/>
  <c r="E89" i="6"/>
  <c r="F89" i="6"/>
  <c r="G89" i="6"/>
  <c r="D90" i="6"/>
  <c r="H90" i="6" s="1"/>
  <c r="E90" i="6"/>
  <c r="F90" i="6"/>
  <c r="G90" i="6"/>
  <c r="D91" i="6"/>
  <c r="H91" i="6" s="1"/>
  <c r="E91" i="6"/>
  <c r="F91" i="6"/>
  <c r="G91" i="6"/>
  <c r="D92" i="6"/>
  <c r="H92" i="6" s="1"/>
  <c r="E92" i="6"/>
  <c r="F92" i="6"/>
  <c r="G92" i="6"/>
  <c r="D93" i="6"/>
  <c r="H93" i="6" s="1"/>
  <c r="E93" i="6"/>
  <c r="F93" i="6"/>
  <c r="G93" i="6"/>
  <c r="D94" i="6"/>
  <c r="H94" i="6" s="1"/>
  <c r="E94" i="6"/>
  <c r="F94" i="6"/>
  <c r="G94" i="6"/>
  <c r="D95" i="6"/>
  <c r="H95" i="6" s="1"/>
  <c r="E95" i="6"/>
  <c r="F95" i="6"/>
  <c r="G95" i="6"/>
  <c r="D96" i="6"/>
  <c r="H96" i="6" s="1"/>
  <c r="E96" i="6"/>
  <c r="F96" i="6"/>
  <c r="G96" i="6"/>
  <c r="D97" i="6"/>
  <c r="H97" i="6" s="1"/>
  <c r="E97" i="6"/>
  <c r="F97" i="6"/>
  <c r="G97" i="6"/>
  <c r="D98" i="6"/>
  <c r="H98" i="6" s="1"/>
  <c r="E98" i="6"/>
  <c r="F98" i="6"/>
  <c r="G98" i="6"/>
  <c r="D99" i="6"/>
  <c r="H99" i="6" s="1"/>
  <c r="E99" i="6"/>
  <c r="F99" i="6"/>
  <c r="G99" i="6"/>
  <c r="D100" i="6"/>
  <c r="H100" i="6" s="1"/>
  <c r="E100" i="6"/>
  <c r="F100" i="6"/>
  <c r="G100" i="6"/>
  <c r="D101" i="6"/>
  <c r="H101" i="6" s="1"/>
  <c r="E101" i="6"/>
  <c r="F101" i="6"/>
  <c r="G101" i="6"/>
  <c r="D102" i="6"/>
  <c r="H102" i="6" s="1"/>
  <c r="E102" i="6"/>
  <c r="F102" i="6"/>
  <c r="G102" i="6"/>
  <c r="D103" i="6"/>
  <c r="H103" i="6" s="1"/>
  <c r="E103" i="6"/>
  <c r="F103" i="6"/>
  <c r="G103" i="6"/>
  <c r="D104" i="6"/>
  <c r="H104" i="6" s="1"/>
  <c r="E104" i="6"/>
  <c r="F104" i="6"/>
  <c r="G104" i="6"/>
  <c r="D105" i="6"/>
  <c r="H105" i="6" s="1"/>
  <c r="E105" i="6"/>
  <c r="F105" i="6"/>
  <c r="G105" i="6"/>
  <c r="D106" i="6"/>
  <c r="H106" i="6" s="1"/>
  <c r="E106" i="6"/>
  <c r="F106" i="6"/>
  <c r="G106" i="6"/>
  <c r="D107" i="6"/>
  <c r="H107" i="6" s="1"/>
  <c r="E107" i="6"/>
  <c r="F107" i="6"/>
  <c r="G107" i="6"/>
  <c r="D108" i="6"/>
  <c r="H108" i="6" s="1"/>
  <c r="E108" i="6"/>
  <c r="F108" i="6"/>
  <c r="G108" i="6"/>
  <c r="D109" i="6"/>
  <c r="H109" i="6" s="1"/>
  <c r="E109" i="6"/>
  <c r="F109" i="6"/>
  <c r="G109" i="6"/>
  <c r="D110" i="6"/>
  <c r="H110" i="6" s="1"/>
  <c r="E110" i="6"/>
  <c r="F110" i="6"/>
  <c r="G110" i="6"/>
  <c r="D111" i="6"/>
  <c r="H111" i="6" s="1"/>
  <c r="E111" i="6"/>
  <c r="F111" i="6"/>
  <c r="G111" i="6"/>
  <c r="D112" i="6"/>
  <c r="H112" i="6" s="1"/>
  <c r="E112" i="6"/>
  <c r="F112" i="6"/>
  <c r="G112" i="6"/>
  <c r="D73" i="6"/>
  <c r="H73" i="6" s="1"/>
  <c r="AC8" i="2"/>
  <c r="AB1" i="2" s="1"/>
  <c r="AC9" i="2"/>
  <c r="AC14" i="2"/>
  <c r="AF14" i="2" s="1"/>
  <c r="AD14" i="2"/>
  <c r="AE14" i="2"/>
  <c r="AC15" i="2"/>
  <c r="AF15" i="2" s="1"/>
  <c r="AD15" i="2"/>
  <c r="AE15" i="2"/>
  <c r="AC16" i="2"/>
  <c r="AF16" i="2" s="1"/>
  <c r="AD16" i="2"/>
  <c r="AE16" i="2"/>
  <c r="AC17" i="2"/>
  <c r="AF17" i="2" s="1"/>
  <c r="AD17" i="2"/>
  <c r="AE17" i="2"/>
  <c r="AC18" i="2"/>
  <c r="AF18" i="2" s="1"/>
  <c r="AD18" i="2"/>
  <c r="AE18" i="2"/>
  <c r="AC19" i="2"/>
  <c r="AF19" i="2" s="1"/>
  <c r="AD19" i="2"/>
  <c r="AE19" i="2"/>
  <c r="AC20" i="2"/>
  <c r="AF20" i="2" s="1"/>
  <c r="AD20" i="2"/>
  <c r="AE20" i="2"/>
  <c r="AC21" i="2"/>
  <c r="AF21" i="2" s="1"/>
  <c r="AD21" i="2"/>
  <c r="AE21" i="2"/>
  <c r="AC22" i="2"/>
  <c r="AF22" i="2" s="1"/>
  <c r="AD22" i="2"/>
  <c r="AE22" i="2"/>
  <c r="AC23" i="2"/>
  <c r="AF23" i="2" s="1"/>
  <c r="AD23" i="2"/>
  <c r="AE23" i="2"/>
  <c r="AC24" i="2"/>
  <c r="AF24" i="2" s="1"/>
  <c r="AD24" i="2"/>
  <c r="AE24" i="2"/>
  <c r="AC25" i="2"/>
  <c r="AF25" i="2" s="1"/>
  <c r="AD25" i="2"/>
  <c r="AE25" i="2"/>
  <c r="AC26" i="2"/>
  <c r="AF26" i="2" s="1"/>
  <c r="AD26" i="2"/>
  <c r="AE26" i="2"/>
  <c r="AC27" i="2"/>
  <c r="AF27" i="2" s="1"/>
  <c r="AD27" i="2"/>
  <c r="AE27" i="2"/>
  <c r="AC28" i="2"/>
  <c r="AF28" i="2" s="1"/>
  <c r="AD28" i="2"/>
  <c r="AE28" i="2"/>
  <c r="AC29" i="2"/>
  <c r="AF29" i="2" s="1"/>
  <c r="AD29" i="2"/>
  <c r="AE29" i="2"/>
  <c r="AC30" i="2"/>
  <c r="AF30" i="2" s="1"/>
  <c r="AD30" i="2"/>
  <c r="AE30" i="2"/>
  <c r="AC31" i="2"/>
  <c r="AF31" i="2" s="1"/>
  <c r="AD31" i="2"/>
  <c r="AE31" i="2"/>
  <c r="AC32" i="2"/>
  <c r="AF32" i="2" s="1"/>
  <c r="AD32" i="2"/>
  <c r="AE32" i="2"/>
  <c r="AC33" i="2"/>
  <c r="AF33" i="2" s="1"/>
  <c r="AD33" i="2"/>
  <c r="AE33" i="2"/>
  <c r="AC34" i="2"/>
  <c r="AF34" i="2" s="1"/>
  <c r="AD34" i="2"/>
  <c r="AE34" i="2"/>
  <c r="AC35" i="2"/>
  <c r="AF35" i="2" s="1"/>
  <c r="AD35" i="2"/>
  <c r="AE35" i="2"/>
  <c r="AC36" i="2"/>
  <c r="AF36" i="2" s="1"/>
  <c r="AD36" i="2"/>
  <c r="AE36" i="2"/>
  <c r="AC37" i="2"/>
  <c r="AF37" i="2" s="1"/>
  <c r="AD37" i="2"/>
  <c r="AE37" i="2"/>
  <c r="AC38" i="2"/>
  <c r="AF38" i="2" s="1"/>
  <c r="AD38" i="2"/>
  <c r="AE38" i="2"/>
  <c r="AC39" i="2"/>
  <c r="AF39" i="2" s="1"/>
  <c r="AD39" i="2"/>
  <c r="AE39" i="2"/>
  <c r="AC40" i="2"/>
  <c r="AF40" i="2" s="1"/>
  <c r="AD40" i="2"/>
  <c r="AE40" i="2"/>
  <c r="AC41" i="2"/>
  <c r="AF41" i="2" s="1"/>
  <c r="AD41" i="2"/>
  <c r="AE41" i="2"/>
  <c r="AC42" i="2"/>
  <c r="AF42" i="2" s="1"/>
  <c r="AD42" i="2"/>
  <c r="AE42" i="2"/>
  <c r="AC43" i="2"/>
  <c r="AF43" i="2" s="1"/>
  <c r="AD43" i="2"/>
  <c r="AE43" i="2"/>
  <c r="AC44" i="2"/>
  <c r="AF44" i="2" s="1"/>
  <c r="AD44" i="2"/>
  <c r="AE44" i="2"/>
  <c r="AC45" i="2"/>
  <c r="AF45" i="2" s="1"/>
  <c r="AD45" i="2"/>
  <c r="AE45" i="2"/>
  <c r="AC46" i="2"/>
  <c r="AF46" i="2" s="1"/>
  <c r="AD46" i="2"/>
  <c r="AE46" i="2"/>
  <c r="AC47" i="2"/>
  <c r="AF47" i="2" s="1"/>
  <c r="AD47" i="2"/>
  <c r="AE47" i="2"/>
  <c r="AC48" i="2"/>
  <c r="AF48" i="2" s="1"/>
  <c r="AD48" i="2"/>
  <c r="AE48" i="2"/>
  <c r="AC49" i="2"/>
  <c r="AF49" i="2" s="1"/>
  <c r="AD49" i="2"/>
  <c r="AE49" i="2"/>
  <c r="AC50" i="2"/>
  <c r="AF50" i="2" s="1"/>
  <c r="AD50" i="2"/>
  <c r="AE50" i="2"/>
  <c r="AC51" i="2"/>
  <c r="AF51" i="2" s="1"/>
  <c r="AD51" i="2"/>
  <c r="AE51" i="2"/>
  <c r="AC52" i="2"/>
  <c r="AF52" i="2" s="1"/>
  <c r="AD52" i="2"/>
  <c r="AE52" i="2"/>
  <c r="AC53" i="2"/>
  <c r="AF53" i="2" s="1"/>
  <c r="AD53" i="2"/>
  <c r="AE53" i="2"/>
  <c r="D59" i="2"/>
  <c r="D72" i="2" s="1"/>
  <c r="E59" i="2"/>
  <c r="E72" i="2" s="1"/>
  <c r="F59" i="2"/>
  <c r="L72" i="2" s="1"/>
  <c r="G59" i="2"/>
  <c r="X72" i="2" s="1"/>
  <c r="H59" i="2"/>
  <c r="M72" i="2" s="1"/>
  <c r="I59" i="2"/>
  <c r="Y72" i="2" s="1"/>
  <c r="J59" i="2"/>
  <c r="F72" i="2" s="1"/>
  <c r="K59" i="2"/>
  <c r="Z72" i="2" s="1"/>
  <c r="L59" i="2"/>
  <c r="N72" i="2" s="1"/>
  <c r="M59" i="2"/>
  <c r="G72" i="2" s="1"/>
  <c r="N59" i="2"/>
  <c r="H72" i="2" s="1"/>
  <c r="O59" i="2"/>
  <c r="O72" i="2" s="1"/>
  <c r="P59" i="2"/>
  <c r="P72" i="2" s="1"/>
  <c r="Q59" i="2"/>
  <c r="Q72" i="2" s="1"/>
  <c r="R59" i="2"/>
  <c r="AA72" i="2" s="1"/>
  <c r="S59" i="2"/>
  <c r="I72" i="2" s="1"/>
  <c r="T59" i="2"/>
  <c r="R72" i="2" s="1"/>
  <c r="U59" i="2"/>
  <c r="S72" i="2" s="1"/>
  <c r="V59" i="2"/>
  <c r="T72" i="2" s="1"/>
  <c r="W59" i="2"/>
  <c r="J72" i="2" s="1"/>
  <c r="X59" i="2"/>
  <c r="K72" i="2" s="1"/>
  <c r="Y59" i="2"/>
  <c r="U72" i="2" s="1"/>
  <c r="Z59" i="2"/>
  <c r="V72" i="2" s="1"/>
  <c r="AA59" i="2"/>
  <c r="W72" i="2" s="1"/>
  <c r="AB59" i="2"/>
  <c r="AB72" i="2" s="1"/>
  <c r="D60" i="2"/>
  <c r="D73" i="2" s="1"/>
  <c r="E60" i="2"/>
  <c r="E73" i="2" s="1"/>
  <c r="F60" i="2"/>
  <c r="L73" i="2" s="1"/>
  <c r="G60" i="2"/>
  <c r="X73" i="2" s="1"/>
  <c r="H60" i="2"/>
  <c r="M73" i="2" s="1"/>
  <c r="I60" i="2"/>
  <c r="Y73" i="2" s="1"/>
  <c r="J60" i="2"/>
  <c r="F73" i="2" s="1"/>
  <c r="K60" i="2"/>
  <c r="Z73" i="2" s="1"/>
  <c r="L60" i="2"/>
  <c r="N73" i="2" s="1"/>
  <c r="M60" i="2"/>
  <c r="G73" i="2" s="1"/>
  <c r="N60" i="2"/>
  <c r="H73" i="2" s="1"/>
  <c r="O60" i="2"/>
  <c r="O73" i="2" s="1"/>
  <c r="P60" i="2"/>
  <c r="P73" i="2" s="1"/>
  <c r="Q60" i="2"/>
  <c r="Q73" i="2" s="1"/>
  <c r="R60" i="2"/>
  <c r="AA73" i="2" s="1"/>
  <c r="S60" i="2"/>
  <c r="I73" i="2" s="1"/>
  <c r="T60" i="2"/>
  <c r="R73" i="2" s="1"/>
  <c r="U60" i="2"/>
  <c r="S73" i="2" s="1"/>
  <c r="V60" i="2"/>
  <c r="T73" i="2" s="1"/>
  <c r="W60" i="2"/>
  <c r="J73" i="2" s="1"/>
  <c r="X60" i="2"/>
  <c r="K73" i="2" s="1"/>
  <c r="Y60" i="2"/>
  <c r="U73" i="2" s="1"/>
  <c r="Z60" i="2"/>
  <c r="V73" i="2" s="1"/>
  <c r="AA60" i="2"/>
  <c r="W73" i="2" s="1"/>
  <c r="AB60" i="2"/>
  <c r="AB73" i="2" s="1"/>
  <c r="D61" i="2"/>
  <c r="D74" i="2" s="1"/>
  <c r="E61" i="2"/>
  <c r="E74" i="2" s="1"/>
  <c r="F61" i="2"/>
  <c r="L74" i="2" s="1"/>
  <c r="G61" i="2"/>
  <c r="X74" i="2" s="1"/>
  <c r="H61" i="2"/>
  <c r="M74" i="2" s="1"/>
  <c r="I61" i="2"/>
  <c r="Y74" i="2" s="1"/>
  <c r="J61" i="2"/>
  <c r="F74" i="2" s="1"/>
  <c r="K61" i="2"/>
  <c r="Z74" i="2" s="1"/>
  <c r="L61" i="2"/>
  <c r="N74" i="2" s="1"/>
  <c r="M61" i="2"/>
  <c r="G74" i="2" s="1"/>
  <c r="N61" i="2"/>
  <c r="H74" i="2" s="1"/>
  <c r="O61" i="2"/>
  <c r="O74" i="2" s="1"/>
  <c r="P61" i="2"/>
  <c r="P74" i="2" s="1"/>
  <c r="Q61" i="2"/>
  <c r="Q74" i="2" s="1"/>
  <c r="R61" i="2"/>
  <c r="AA74" i="2" s="1"/>
  <c r="S61" i="2"/>
  <c r="I74" i="2" s="1"/>
  <c r="T61" i="2"/>
  <c r="R74" i="2" s="1"/>
  <c r="U61" i="2"/>
  <c r="S74" i="2" s="1"/>
  <c r="V61" i="2"/>
  <c r="T74" i="2" s="1"/>
  <c r="W61" i="2"/>
  <c r="J74" i="2" s="1"/>
  <c r="X61" i="2"/>
  <c r="K74" i="2" s="1"/>
  <c r="Y61" i="2"/>
  <c r="U74" i="2" s="1"/>
  <c r="Z61" i="2"/>
  <c r="V74" i="2" s="1"/>
  <c r="AA61" i="2"/>
  <c r="W74" i="2" s="1"/>
  <c r="AB61" i="2"/>
  <c r="AB74" i="2" s="1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E81" i="2" l="1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L79" i="2"/>
  <c r="K80" i="2"/>
  <c r="J80" i="2"/>
  <c r="I80" i="2"/>
  <c r="H80" i="2"/>
  <c r="G80" i="2"/>
  <c r="F80" i="2"/>
  <c r="E80" i="2"/>
  <c r="D79" i="2"/>
  <c r="D119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80" i="2"/>
  <c r="G59" i="6"/>
  <c r="G60" i="6"/>
  <c r="G61" i="6"/>
  <c r="G62" i="6"/>
  <c r="AF50" i="6"/>
  <c r="AG50" i="6"/>
  <c r="AH50" i="6"/>
  <c r="AI50" i="6"/>
  <c r="AF51" i="6"/>
  <c r="AG51" i="6"/>
  <c r="AH51" i="6"/>
  <c r="AI51" i="6"/>
  <c r="AF52" i="6"/>
  <c r="AG52" i="6"/>
  <c r="AH52" i="6"/>
  <c r="AI52" i="6"/>
  <c r="AF53" i="6"/>
  <c r="AG53" i="6"/>
  <c r="AH53" i="6"/>
  <c r="AI53" i="6"/>
  <c r="F60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E60" i="6"/>
  <c r="D60" i="6"/>
  <c r="AC62" i="6"/>
  <c r="AD62" i="6"/>
  <c r="AE62" i="6"/>
  <c r="AC61" i="6"/>
  <c r="AD61" i="6"/>
  <c r="AE61" i="6"/>
  <c r="AC59" i="6"/>
  <c r="AD59" i="6"/>
  <c r="AE59" i="6"/>
  <c r="AG39" i="2" l="1"/>
  <c r="AG31" i="2"/>
  <c r="AG47" i="2"/>
  <c r="AG23" i="2"/>
  <c r="AG14" i="2"/>
  <c r="AG46" i="2"/>
  <c r="AG38" i="2"/>
  <c r="AG30" i="2"/>
  <c r="AG22" i="2"/>
  <c r="AG15" i="2"/>
  <c r="AG53" i="2"/>
  <c r="AG45" i="2"/>
  <c r="AG37" i="2"/>
  <c r="AG29" i="2"/>
  <c r="AG21" i="2"/>
  <c r="AG52" i="2"/>
  <c r="AG44" i="2"/>
  <c r="AG36" i="2"/>
  <c r="AG28" i="2"/>
  <c r="AG20" i="2"/>
  <c r="AG51" i="2"/>
  <c r="AG43" i="2"/>
  <c r="AG35" i="2"/>
  <c r="AG27" i="2"/>
  <c r="AG19" i="2"/>
  <c r="AG50" i="2"/>
  <c r="AG42" i="2"/>
  <c r="AG34" i="2"/>
  <c r="AG26" i="2"/>
  <c r="AG18" i="2"/>
  <c r="AG49" i="2"/>
  <c r="AG41" i="2"/>
  <c r="AG33" i="2"/>
  <c r="AG25" i="2"/>
  <c r="AG17" i="2"/>
  <c r="AG48" i="2"/>
  <c r="AG40" i="2"/>
  <c r="AG32" i="2"/>
  <c r="AG24" i="2"/>
  <c r="AG16" i="2"/>
  <c r="AC90" i="2"/>
  <c r="AF90" i="2" s="1"/>
  <c r="AC82" i="2"/>
  <c r="AF82" i="2" s="1"/>
  <c r="AM99" i="2"/>
  <c r="AK93" i="2"/>
  <c r="AM91" i="2"/>
  <c r="AK90" i="2"/>
  <c r="AL89" i="2"/>
  <c r="AM88" i="2"/>
  <c r="AK86" i="2"/>
  <c r="AL84" i="2"/>
  <c r="AK83" i="2"/>
  <c r="AL114" i="2"/>
  <c r="AK107" i="2"/>
  <c r="AM102" i="2"/>
  <c r="AK97" i="2"/>
  <c r="AL92" i="2"/>
  <c r="AD98" i="2"/>
  <c r="AK115" i="2"/>
  <c r="AM109" i="2"/>
  <c r="AL103" i="2"/>
  <c r="AM95" i="2"/>
  <c r="AE114" i="2"/>
  <c r="AL117" i="2"/>
  <c r="AM113" i="2"/>
  <c r="AL110" i="2"/>
  <c r="AM106" i="2"/>
  <c r="AL100" i="2"/>
  <c r="AL96" i="2"/>
  <c r="AC106" i="2"/>
  <c r="AF106" i="2" s="1"/>
  <c r="AK118" i="2"/>
  <c r="AK111" i="2"/>
  <c r="AK104" i="2"/>
  <c r="AC89" i="2"/>
  <c r="AF89" i="2" s="1"/>
  <c r="AM116" i="2"/>
  <c r="AK113" i="2"/>
  <c r="AL109" i="2"/>
  <c r="AL102" i="2"/>
  <c r="AK99" i="2"/>
  <c r="AL93" i="2"/>
  <c r="AK91" i="2"/>
  <c r="AM87" i="2"/>
  <c r="AK84" i="2"/>
  <c r="AC112" i="2"/>
  <c r="AF112" i="2" s="1"/>
  <c r="AC104" i="2"/>
  <c r="AF104" i="2" s="1"/>
  <c r="AC96" i="2"/>
  <c r="AF96" i="2" s="1"/>
  <c r="AD88" i="2"/>
  <c r="AC119" i="2"/>
  <c r="AF119" i="2" s="1"/>
  <c r="AC111" i="2"/>
  <c r="AF111" i="2" s="1"/>
  <c r="AC103" i="2"/>
  <c r="AF103" i="2" s="1"/>
  <c r="AD95" i="2"/>
  <c r="AC87" i="2"/>
  <c r="AF87" i="2" s="1"/>
  <c r="AK119" i="2"/>
  <c r="AK112" i="2"/>
  <c r="AM108" i="2"/>
  <c r="AK105" i="2"/>
  <c r="AK100" i="2"/>
  <c r="AL95" i="2"/>
  <c r="AK92" i="2"/>
  <c r="AK89" i="2"/>
  <c r="AC94" i="2"/>
  <c r="AF94" i="2" s="1"/>
  <c r="AI119" i="2"/>
  <c r="AI116" i="2"/>
  <c r="AD116" i="2"/>
  <c r="AE115" i="2"/>
  <c r="AG114" i="2"/>
  <c r="AJ114" i="2" s="1"/>
  <c r="AH113" i="2"/>
  <c r="AC113" i="2"/>
  <c r="AF113" i="2" s="1"/>
  <c r="AI112" i="2"/>
  <c r="AD112" i="2"/>
  <c r="AE111" i="2"/>
  <c r="AG110" i="2"/>
  <c r="AJ110" i="2" s="1"/>
  <c r="AH109" i="2"/>
  <c r="AC109" i="2"/>
  <c r="AF109" i="2" s="1"/>
  <c r="AI108" i="2"/>
  <c r="AD108" i="2"/>
  <c r="AE107" i="2"/>
  <c r="AH106" i="2"/>
  <c r="AI105" i="2"/>
  <c r="AD105" i="2"/>
  <c r="AE104" i="2"/>
  <c r="AG103" i="2"/>
  <c r="AJ103" i="2" s="1"/>
  <c r="AH102" i="2"/>
  <c r="AE101" i="2"/>
  <c r="AG100" i="2"/>
  <c r="AJ100" i="2" s="1"/>
  <c r="AH99" i="2"/>
  <c r="AC99" i="2"/>
  <c r="AF99" i="2" s="1"/>
  <c r="AI98" i="2"/>
  <c r="AE97" i="2"/>
  <c r="AG96" i="2"/>
  <c r="AJ96" i="2" s="1"/>
  <c r="AH95" i="2"/>
  <c r="AC95" i="2"/>
  <c r="AF95" i="2" s="1"/>
  <c r="AI94" i="2"/>
  <c r="AE93" i="2"/>
  <c r="AG92" i="2"/>
  <c r="AJ92" i="2" s="1"/>
  <c r="AH91" i="2"/>
  <c r="AC91" i="2"/>
  <c r="AF91" i="2" s="1"/>
  <c r="AG89" i="2"/>
  <c r="AJ89" i="2" s="1"/>
  <c r="AH88" i="2"/>
  <c r="AC88" i="2"/>
  <c r="AF88" i="2" s="1"/>
  <c r="AI87" i="2"/>
  <c r="AD87" i="2"/>
  <c r="AH85" i="2"/>
  <c r="AG84" i="2"/>
  <c r="AJ84" i="2" s="1"/>
  <c r="AI82" i="2"/>
  <c r="AC105" i="2"/>
  <c r="AF105" i="2" s="1"/>
  <c r="AL118" i="2"/>
  <c r="AK114" i="2"/>
  <c r="AK110" i="2"/>
  <c r="AK106" i="2"/>
  <c r="AK103" i="2"/>
  <c r="AL97" i="2"/>
  <c r="AD102" i="2"/>
  <c r="AH117" i="2"/>
  <c r="AD109" i="2"/>
  <c r="AD93" i="2"/>
  <c r="AI118" i="2"/>
  <c r="AG116" i="2"/>
  <c r="AJ116" i="2" s="1"/>
  <c r="AH114" i="2"/>
  <c r="AH112" i="2"/>
  <c r="AI111" i="2"/>
  <c r="AH110" i="2"/>
  <c r="AG109" i="2"/>
  <c r="AJ109" i="2" s="1"/>
  <c r="AG108" i="2"/>
  <c r="AJ108" i="2" s="1"/>
  <c r="AG107" i="2"/>
  <c r="AJ107" i="2" s="1"/>
  <c r="AG106" i="2"/>
  <c r="AJ106" i="2" s="1"/>
  <c r="AH105" i="2"/>
  <c r="AI104" i="2"/>
  <c r="AH103" i="2"/>
  <c r="AG102" i="2"/>
  <c r="AJ102" i="2" s="1"/>
  <c r="AG101" i="2"/>
  <c r="AJ101" i="2" s="1"/>
  <c r="AH100" i="2"/>
  <c r="AG99" i="2"/>
  <c r="AJ99" i="2" s="1"/>
  <c r="AH98" i="2"/>
  <c r="AI97" i="2"/>
  <c r="AH96" i="2"/>
  <c r="AG95" i="2"/>
  <c r="AJ95" i="2" s="1"/>
  <c r="AG94" i="2"/>
  <c r="AJ94" i="2" s="1"/>
  <c r="AG93" i="2"/>
  <c r="AJ93" i="2" s="1"/>
  <c r="AH92" i="2"/>
  <c r="AG91" i="2"/>
  <c r="AJ91" i="2" s="1"/>
  <c r="AI90" i="2"/>
  <c r="AH89" i="2"/>
  <c r="AG88" i="2"/>
  <c r="AJ88" i="2" s="1"/>
  <c r="AG87" i="2"/>
  <c r="AJ87" i="2" s="1"/>
  <c r="AG86" i="2"/>
  <c r="AJ86" i="2" s="1"/>
  <c r="AH84" i="2"/>
  <c r="AH82" i="2"/>
  <c r="AC97" i="2"/>
  <c r="AF97" i="2" s="1"/>
  <c r="AK117" i="2"/>
  <c r="AL111" i="2"/>
  <c r="AL107" i="2"/>
  <c r="AM101" i="2"/>
  <c r="AK98" i="2"/>
  <c r="AM94" i="2"/>
  <c r="AL90" i="2"/>
  <c r="AL86" i="2"/>
  <c r="AK82" i="2"/>
  <c r="AE118" i="2"/>
  <c r="AD86" i="2"/>
  <c r="AD119" i="2"/>
  <c r="AD117" i="2"/>
  <c r="AD101" i="2"/>
  <c r="AH119" i="2"/>
  <c r="AG117" i="2"/>
  <c r="AJ117" i="2" s="1"/>
  <c r="AG115" i="2"/>
  <c r="AJ115" i="2" s="1"/>
  <c r="AG113" i="2"/>
  <c r="AJ113" i="2" s="1"/>
  <c r="AC116" i="2"/>
  <c r="AF116" i="2" s="1"/>
  <c r="AC108" i="2"/>
  <c r="AF108" i="2" s="1"/>
  <c r="AE100" i="2"/>
  <c r="AE92" i="2"/>
  <c r="AE84" i="2"/>
  <c r="AD113" i="2"/>
  <c r="AL115" i="2"/>
  <c r="AL104" i="2"/>
  <c r="AK96" i="2"/>
  <c r="AL88" i="2"/>
  <c r="AC110" i="2"/>
  <c r="AF110" i="2" s="1"/>
  <c r="AC117" i="2"/>
  <c r="AF117" i="2" s="1"/>
  <c r="AD115" i="2"/>
  <c r="AD107" i="2"/>
  <c r="AD99" i="2"/>
  <c r="AD91" i="2"/>
  <c r="AD94" i="2"/>
  <c r="AE86" i="2"/>
  <c r="AG119" i="2"/>
  <c r="AJ119" i="2" s="1"/>
  <c r="AH118" i="2"/>
  <c r="AL116" i="2"/>
  <c r="AM115" i="2"/>
  <c r="AC115" i="2"/>
  <c r="AF115" i="2" s="1"/>
  <c r="AD114" i="2"/>
  <c r="AE113" i="2"/>
  <c r="AG112" i="2"/>
  <c r="AJ112" i="2" s="1"/>
  <c r="AH111" i="2"/>
  <c r="AI110" i="2"/>
  <c r="AK109" i="2"/>
  <c r="AL108" i="2"/>
  <c r="AM107" i="2"/>
  <c r="AC107" i="2"/>
  <c r="AF107" i="2" s="1"/>
  <c r="AE106" i="2"/>
  <c r="AG105" i="2"/>
  <c r="AJ105" i="2" s="1"/>
  <c r="AH104" i="2"/>
  <c r="AI103" i="2"/>
  <c r="AK102" i="2"/>
  <c r="AL101" i="2"/>
  <c r="AC101" i="2"/>
  <c r="AF101" i="2" s="1"/>
  <c r="AD100" i="2"/>
  <c r="AE99" i="2"/>
  <c r="AG98" i="2"/>
  <c r="AJ98" i="2" s="1"/>
  <c r="AH97" i="2"/>
  <c r="AI96" i="2"/>
  <c r="AK95" i="2"/>
  <c r="AL94" i="2"/>
  <c r="AM93" i="2"/>
  <c r="AC93" i="2"/>
  <c r="AF93" i="2" s="1"/>
  <c r="AD92" i="2"/>
  <c r="AE91" i="2"/>
  <c r="AH90" i="2"/>
  <c r="AI89" i="2"/>
  <c r="AK88" i="2"/>
  <c r="AL87" i="2"/>
  <c r="AM86" i="2"/>
  <c r="AC86" i="2"/>
  <c r="AF86" i="2" s="1"/>
  <c r="AD84" i="2"/>
  <c r="AG82" i="2"/>
  <c r="AJ82" i="2" s="1"/>
  <c r="AC102" i="2"/>
  <c r="AF102" i="2" s="1"/>
  <c r="AE119" i="2"/>
  <c r="AG118" i="2"/>
  <c r="AJ118" i="2" s="1"/>
  <c r="AI117" i="2"/>
  <c r="AK116" i="2"/>
  <c r="AM114" i="2"/>
  <c r="AC114" i="2"/>
  <c r="AF114" i="2" s="1"/>
  <c r="AE112" i="2"/>
  <c r="AG111" i="2"/>
  <c r="AJ111" i="2" s="1"/>
  <c r="AI109" i="2"/>
  <c r="AK108" i="2"/>
  <c r="AD106" i="2"/>
  <c r="AE105" i="2"/>
  <c r="AG104" i="2"/>
  <c r="AJ104" i="2" s="1"/>
  <c r="AI102" i="2"/>
  <c r="AK101" i="2"/>
  <c r="AM100" i="2"/>
  <c r="AC100" i="2"/>
  <c r="AF100" i="2" s="1"/>
  <c r="AE98" i="2"/>
  <c r="AG97" i="2"/>
  <c r="AJ97" i="2" s="1"/>
  <c r="AI95" i="2"/>
  <c r="AK94" i="2"/>
  <c r="AM92" i="2"/>
  <c r="AC92" i="2"/>
  <c r="AF92" i="2" s="1"/>
  <c r="AG90" i="2"/>
  <c r="AJ90" i="2" s="1"/>
  <c r="AI88" i="2"/>
  <c r="AK87" i="2"/>
  <c r="AM84" i="2"/>
  <c r="AC84" i="2"/>
  <c r="AF84" i="2" s="1"/>
  <c r="AE82" i="2"/>
  <c r="AE90" i="2"/>
  <c r="AD82" i="2"/>
  <c r="AI85" i="2"/>
  <c r="AG83" i="2"/>
  <c r="AJ83" i="2" s="1"/>
  <c r="AM119" i="2"/>
  <c r="AD118" i="2"/>
  <c r="AH116" i="2"/>
  <c r="AI115" i="2"/>
  <c r="AL113" i="2"/>
  <c r="AM112" i="2"/>
  <c r="AD111" i="2"/>
  <c r="AE110" i="2"/>
  <c r="AH108" i="2"/>
  <c r="AI107" i="2"/>
  <c r="AL106" i="2"/>
  <c r="AM105" i="2"/>
  <c r="AD104" i="2"/>
  <c r="AE103" i="2"/>
  <c r="AI101" i="2"/>
  <c r="AL99" i="2"/>
  <c r="AM98" i="2"/>
  <c r="AC98" i="2"/>
  <c r="AF98" i="2" s="1"/>
  <c r="AD97" i="2"/>
  <c r="AE96" i="2"/>
  <c r="AH94" i="2"/>
  <c r="AI93" i="2"/>
  <c r="AL91" i="2"/>
  <c r="AD90" i="2"/>
  <c r="AE89" i="2"/>
  <c r="AH87" i="2"/>
  <c r="AI86" i="2"/>
  <c r="AM82" i="2"/>
  <c r="AL119" i="2"/>
  <c r="AM118" i="2"/>
  <c r="AC118" i="2"/>
  <c r="AF118" i="2" s="1"/>
  <c r="AE117" i="2"/>
  <c r="AH115" i="2"/>
  <c r="AI114" i="2"/>
  <c r="AL112" i="2"/>
  <c r="AM111" i="2"/>
  <c r="AD110" i="2"/>
  <c r="AE109" i="2"/>
  <c r="AH107" i="2"/>
  <c r="AL105" i="2"/>
  <c r="AM104" i="2"/>
  <c r="AD103" i="2"/>
  <c r="AE102" i="2"/>
  <c r="AH101" i="2"/>
  <c r="AI100" i="2"/>
  <c r="AL98" i="2"/>
  <c r="AM97" i="2"/>
  <c r="AD96" i="2"/>
  <c r="AE95" i="2"/>
  <c r="AH93" i="2"/>
  <c r="AI92" i="2"/>
  <c r="AM90" i="2"/>
  <c r="AD89" i="2"/>
  <c r="AE88" i="2"/>
  <c r="AH86" i="2"/>
  <c r="AI84" i="2"/>
  <c r="AL82" i="2"/>
  <c r="AC83" i="2"/>
  <c r="AF83" i="2" s="1"/>
  <c r="AM117" i="2"/>
  <c r="AE116" i="2"/>
  <c r="AI113" i="2"/>
  <c r="AM110" i="2"/>
  <c r="AE108" i="2"/>
  <c r="AI106" i="2"/>
  <c r="AM103" i="2"/>
  <c r="AI99" i="2"/>
  <c r="AM96" i="2"/>
  <c r="AE94" i="2"/>
  <c r="AI91" i="2"/>
  <c r="AM89" i="2"/>
  <c r="AE87" i="2"/>
  <c r="AC81" i="2"/>
  <c r="AF81" i="2" s="1"/>
  <c r="AK85" i="2"/>
  <c r="AL83" i="2"/>
  <c r="AC85" i="2"/>
  <c r="AF85" i="2" s="1"/>
  <c r="AG85" i="2"/>
  <c r="AJ85" i="2" s="1"/>
  <c r="AE85" i="2"/>
  <c r="AM85" i="2"/>
  <c r="AD85" i="2"/>
  <c r="AL85" i="2"/>
  <c r="AI83" i="2"/>
  <c r="AH83" i="2"/>
  <c r="AE83" i="2"/>
  <c r="AD83" i="2"/>
  <c r="AM83" i="2"/>
  <c r="AG81" i="2"/>
  <c r="AJ81" i="2" s="1"/>
  <c r="AI81" i="2"/>
  <c r="AH81" i="2"/>
  <c r="AE81" i="2"/>
  <c r="AD81" i="2"/>
  <c r="AK81" i="2"/>
  <c r="AL81" i="2"/>
  <c r="AM81" i="2"/>
  <c r="AI80" i="2"/>
  <c r="AH80" i="2"/>
  <c r="AE80" i="2"/>
  <c r="AM80" i="2"/>
  <c r="AG80" i="2"/>
  <c r="AJ80" i="2" s="1"/>
  <c r="AK80" i="2"/>
  <c r="AL80" i="2"/>
  <c r="AD80" i="2"/>
  <c r="AC80" i="2"/>
  <c r="AF80" i="2" s="1"/>
  <c r="AC8" i="6"/>
  <c r="AC9" i="6"/>
  <c r="AF16" i="6"/>
  <c r="AG16" i="6"/>
  <c r="AH16" i="6"/>
  <c r="AI16" i="6"/>
  <c r="AF17" i="6"/>
  <c r="AG17" i="6"/>
  <c r="AH17" i="6"/>
  <c r="AI17" i="6"/>
  <c r="AF18" i="6"/>
  <c r="AG18" i="6"/>
  <c r="AH18" i="6"/>
  <c r="AI18" i="6"/>
  <c r="AF19" i="6"/>
  <c r="AG19" i="6"/>
  <c r="AH19" i="6"/>
  <c r="AI19" i="6"/>
  <c r="AF20" i="6"/>
  <c r="AG20" i="6"/>
  <c r="AH20" i="6"/>
  <c r="AI20" i="6"/>
  <c r="AF21" i="6"/>
  <c r="AG21" i="6"/>
  <c r="AH21" i="6"/>
  <c r="AI21" i="6"/>
  <c r="AF22" i="6"/>
  <c r="AG22" i="6"/>
  <c r="AH22" i="6"/>
  <c r="AI22" i="6"/>
  <c r="AF23" i="6"/>
  <c r="AG23" i="6"/>
  <c r="AH23" i="6"/>
  <c r="AI23" i="6"/>
  <c r="AF24" i="6"/>
  <c r="AG24" i="6"/>
  <c r="AH24" i="6"/>
  <c r="AI24" i="6"/>
  <c r="AF25" i="6"/>
  <c r="AG25" i="6"/>
  <c r="AH25" i="6"/>
  <c r="AI25" i="6"/>
  <c r="AF26" i="6"/>
  <c r="AG26" i="6"/>
  <c r="AH26" i="6"/>
  <c r="AI26" i="6"/>
  <c r="AF27" i="6"/>
  <c r="AG27" i="6"/>
  <c r="AH27" i="6"/>
  <c r="AI27" i="6"/>
  <c r="AF28" i="6"/>
  <c r="AG28" i="6"/>
  <c r="AH28" i="6"/>
  <c r="AI28" i="6"/>
  <c r="AF29" i="6"/>
  <c r="AG29" i="6"/>
  <c r="AH29" i="6"/>
  <c r="AI29" i="6"/>
  <c r="AF30" i="6"/>
  <c r="AG30" i="6"/>
  <c r="AH30" i="6"/>
  <c r="AI30" i="6"/>
  <c r="AF31" i="6"/>
  <c r="AG31" i="6"/>
  <c r="AH31" i="6"/>
  <c r="AI31" i="6"/>
  <c r="AF32" i="6"/>
  <c r="AG32" i="6"/>
  <c r="AH32" i="6"/>
  <c r="AI32" i="6"/>
  <c r="AF33" i="6"/>
  <c r="AG33" i="6"/>
  <c r="AH33" i="6"/>
  <c r="AI33" i="6"/>
  <c r="AF34" i="6"/>
  <c r="AG34" i="6"/>
  <c r="AH34" i="6"/>
  <c r="AI34" i="6"/>
  <c r="AF35" i="6"/>
  <c r="AG35" i="6"/>
  <c r="AH35" i="6"/>
  <c r="AI35" i="6"/>
  <c r="AF36" i="6"/>
  <c r="AG36" i="6"/>
  <c r="AH36" i="6"/>
  <c r="AI36" i="6"/>
  <c r="AF37" i="6"/>
  <c r="AG37" i="6"/>
  <c r="AH37" i="6"/>
  <c r="AI37" i="6"/>
  <c r="AF38" i="6"/>
  <c r="AG38" i="6"/>
  <c r="AH38" i="6"/>
  <c r="AI38" i="6"/>
  <c r="AF39" i="6"/>
  <c r="AG39" i="6"/>
  <c r="AH39" i="6"/>
  <c r="AI39" i="6"/>
  <c r="AF40" i="6"/>
  <c r="AG40" i="6"/>
  <c r="AH40" i="6"/>
  <c r="AI40" i="6"/>
  <c r="AF41" i="6"/>
  <c r="AG41" i="6"/>
  <c r="AH41" i="6"/>
  <c r="AI41" i="6"/>
  <c r="AF42" i="6"/>
  <c r="AG42" i="6"/>
  <c r="AH42" i="6"/>
  <c r="AI42" i="6"/>
  <c r="AF43" i="6"/>
  <c r="AG43" i="6"/>
  <c r="AH43" i="6"/>
  <c r="AI43" i="6"/>
  <c r="AF44" i="6"/>
  <c r="AG44" i="6"/>
  <c r="AH44" i="6"/>
  <c r="AI44" i="6"/>
  <c r="AF45" i="6"/>
  <c r="AG45" i="6"/>
  <c r="AH45" i="6"/>
  <c r="AI45" i="6"/>
  <c r="AF46" i="6"/>
  <c r="AG46" i="6"/>
  <c r="AH46" i="6"/>
  <c r="AI46" i="6"/>
  <c r="AF47" i="6"/>
  <c r="AG47" i="6"/>
  <c r="AH47" i="6"/>
  <c r="AI47" i="6"/>
  <c r="AF48" i="6"/>
  <c r="AG48" i="6"/>
  <c r="AH48" i="6"/>
  <c r="AI48" i="6"/>
  <c r="AF49" i="6"/>
  <c r="AG49" i="6"/>
  <c r="AH49" i="6"/>
  <c r="AI49" i="6"/>
  <c r="AF15" i="6"/>
  <c r="AG15" i="6"/>
  <c r="AH15" i="6"/>
  <c r="AI15" i="6"/>
  <c r="AI14" i="6"/>
  <c r="AH14" i="6"/>
  <c r="AG14" i="6"/>
  <c r="AF14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F62" i="6"/>
  <c r="E62" i="6"/>
  <c r="D62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F61" i="6"/>
  <c r="E61" i="6"/>
  <c r="D61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F59" i="6"/>
  <c r="E59" i="6"/>
  <c r="D59" i="6"/>
  <c r="C8" i="9" l="1"/>
  <c r="F8" i="9"/>
  <c r="E8" i="9"/>
  <c r="D8" i="9"/>
  <c r="D9" i="9"/>
  <c r="C9" i="9"/>
  <c r="V73" i="6"/>
  <c r="E9" i="9"/>
  <c r="AN104" i="2"/>
  <c r="AO104" i="2"/>
  <c r="AN96" i="2"/>
  <c r="AO96" i="2"/>
  <c r="AN97" i="2"/>
  <c r="AO97" i="2"/>
  <c r="AN111" i="2"/>
  <c r="AO111" i="2"/>
  <c r="AN94" i="2"/>
  <c r="AO94" i="2"/>
  <c r="AN103" i="2"/>
  <c r="AO103" i="2"/>
  <c r="AN99" i="2"/>
  <c r="AO99" i="2"/>
  <c r="AN118" i="2"/>
  <c r="AO118" i="2"/>
  <c r="AN90" i="2"/>
  <c r="AO90" i="2"/>
  <c r="AN116" i="2"/>
  <c r="AO116" i="2"/>
  <c r="AN82" i="2"/>
  <c r="AO82" i="2"/>
  <c r="AN117" i="2"/>
  <c r="AO117" i="2"/>
  <c r="AN106" i="2"/>
  <c r="AO106" i="2"/>
  <c r="AN112" i="2"/>
  <c r="AO112" i="2"/>
  <c r="AN107" i="2"/>
  <c r="AO107" i="2"/>
  <c r="AN110" i="2"/>
  <c r="AO110" i="2"/>
  <c r="AN119" i="2"/>
  <c r="AO119" i="2"/>
  <c r="AN93" i="2"/>
  <c r="AO93" i="2"/>
  <c r="AN100" i="2"/>
  <c r="AO100" i="2"/>
  <c r="AN105" i="2"/>
  <c r="AO105" i="2"/>
  <c r="AN87" i="2"/>
  <c r="AO87" i="2"/>
  <c r="AN88" i="2"/>
  <c r="AO88" i="2"/>
  <c r="AN109" i="2"/>
  <c r="AO109" i="2"/>
  <c r="AN89" i="2"/>
  <c r="AO89" i="2"/>
  <c r="AN83" i="2"/>
  <c r="AO83" i="2"/>
  <c r="AN101" i="2"/>
  <c r="AO101" i="2"/>
  <c r="AN85" i="2"/>
  <c r="AO85" i="2"/>
  <c r="AN108" i="2"/>
  <c r="AO108" i="2"/>
  <c r="AN95" i="2"/>
  <c r="AO95" i="2"/>
  <c r="AN102" i="2"/>
  <c r="AO102" i="2"/>
  <c r="AN114" i="2"/>
  <c r="AO114" i="2"/>
  <c r="AN113" i="2"/>
  <c r="AO113" i="2"/>
  <c r="AN92" i="2"/>
  <c r="AO92" i="2"/>
  <c r="AN84" i="2"/>
  <c r="AO84" i="2"/>
  <c r="AN115" i="2"/>
  <c r="AO115" i="2"/>
  <c r="AN91" i="2"/>
  <c r="AO91" i="2"/>
  <c r="AN98" i="2"/>
  <c r="AO98" i="2"/>
  <c r="AN86" i="2"/>
  <c r="AO86" i="2"/>
  <c r="AN81" i="2"/>
  <c r="AO81" i="2"/>
  <c r="AN80" i="2"/>
  <c r="AO80" i="2"/>
  <c r="C10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HTC</author>
    <author>heisemberg tarazona</author>
    <author>User</author>
  </authors>
  <commentList>
    <comment ref="C8" authorId="0" shapeId="0" xr:uid="{00000000-0006-0000-0000-000001000000}">
      <text>
        <r>
          <rPr>
            <sz val="12"/>
            <color indexed="81"/>
            <rFont val="Tahoma"/>
            <family val="2"/>
          </rPr>
          <t xml:space="preserve">En todo este registro digital, las celdas resaltadas en naranja claro del </t>
        </r>
        <r>
          <rPr>
            <b/>
            <sz val="12"/>
            <color indexed="81"/>
            <rFont val="Tahoma"/>
            <family val="2"/>
          </rPr>
          <t>Registro de respuestas</t>
        </r>
        <r>
          <rPr>
            <sz val="12"/>
            <color indexed="81"/>
            <rFont val="Tahoma"/>
            <family val="2"/>
          </rPr>
          <t xml:space="preserve"> son las únicas habilitadas para ser completadas. 
Todas las celdas de </t>
        </r>
        <r>
          <rPr>
            <b/>
            <sz val="12"/>
            <color indexed="81"/>
            <rFont val="Tahoma"/>
            <family val="2"/>
          </rPr>
          <t>Análisis de resultados</t>
        </r>
        <r>
          <rPr>
            <sz val="12"/>
            <color indexed="81"/>
            <rFont val="Tahoma"/>
            <family val="2"/>
          </rPr>
          <t xml:space="preserve"> se completan de manera automática. La </t>
        </r>
        <r>
          <rPr>
            <b/>
            <sz val="12"/>
            <color indexed="81"/>
            <rFont val="Tahoma"/>
            <family val="2"/>
          </rPr>
          <t>Tabla de especificaciones</t>
        </r>
        <r>
          <rPr>
            <sz val="12"/>
            <color indexed="81"/>
            <rFont val="Tahoma"/>
            <family val="2"/>
          </rPr>
          <t xml:space="preserve"> ya está completa y no es modificable.</t>
        </r>
      </text>
    </comment>
    <comment ref="V9" authorId="1" shapeId="0" xr:uid="{00000000-0006-0000-0000-000002000000}">
      <text>
        <r>
          <rPr>
            <b/>
            <sz val="12"/>
            <color indexed="81"/>
            <rFont val="Tahoma"/>
            <family val="2"/>
          </rPr>
          <t xml:space="preserve">Fecha:
</t>
        </r>
        <r>
          <rPr>
            <sz val="12"/>
            <color indexed="81"/>
            <rFont val="Tahoma"/>
            <family val="2"/>
          </rPr>
          <t xml:space="preserve">Día/Mes/Año
Ejemplo:
01/04/2022
</t>
        </r>
      </text>
    </comment>
    <comment ref="B13" authorId="2" shapeId="0" xr:uid="{00000000-0006-0000-0000-000003000000}">
      <text>
        <r>
          <rPr>
            <b/>
            <sz val="12"/>
            <color indexed="81"/>
            <rFont val="Tahoma"/>
            <family val="2"/>
          </rPr>
          <t>Indicaciones:</t>
        </r>
        <r>
          <rPr>
            <sz val="12"/>
            <color indexed="81"/>
            <rFont val="Tahoma"/>
            <family val="2"/>
          </rPr>
          <t xml:space="preserve">
- Primero, registre a todos los estudiantes del aula. 
- Luego, la asistencia. 
- En tercer lugar, las respuestas de los estudiantes.</t>
        </r>
      </text>
    </comment>
    <comment ref="C13" authorId="3" shapeId="0" xr:uid="{00000000-0006-0000-0000-000004000000}">
      <text>
        <r>
          <rPr>
            <b/>
            <sz val="12"/>
            <color indexed="81"/>
            <rFont val="Tahoma"/>
            <family val="2"/>
          </rPr>
          <t>Asistencia: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</t>
        </r>
        <r>
          <rPr>
            <sz val="12"/>
            <color indexed="81"/>
            <rFont val="Tahoma"/>
            <family val="2"/>
          </rPr>
          <t xml:space="preserve"> = Presente
</t>
        </r>
        <r>
          <rPr>
            <b/>
            <sz val="12"/>
            <color indexed="81"/>
            <rFont val="Tahoma"/>
            <family val="2"/>
          </rPr>
          <t>NP</t>
        </r>
        <r>
          <rPr>
            <sz val="12"/>
            <color indexed="81"/>
            <rFont val="Tahoma"/>
            <family val="2"/>
          </rPr>
          <t xml:space="preserve"> = No presente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HTC</author>
    <author>heisemberg tarazona</author>
    <author>User</author>
  </authors>
  <commentList>
    <comment ref="C8" authorId="0" shapeId="0" xr:uid="{00000000-0006-0000-0400-000001000000}">
      <text>
        <r>
          <rPr>
            <sz val="12"/>
            <color indexed="81"/>
            <rFont val="Tahoma"/>
            <family val="2"/>
          </rPr>
          <t xml:space="preserve">En todo este registro digital, las celdas resaltadas en naranja claro del </t>
        </r>
        <r>
          <rPr>
            <b/>
            <sz val="12"/>
            <color indexed="81"/>
            <rFont val="Tahoma"/>
            <family val="2"/>
          </rPr>
          <t>Registro de respuestas</t>
        </r>
        <r>
          <rPr>
            <sz val="12"/>
            <color indexed="81"/>
            <rFont val="Tahoma"/>
            <family val="2"/>
          </rPr>
          <t xml:space="preserve"> son las únicas habilitadas para ser completadas. 
Todas las celdas de </t>
        </r>
        <r>
          <rPr>
            <b/>
            <sz val="12"/>
            <color indexed="81"/>
            <rFont val="Tahoma"/>
            <family val="2"/>
          </rPr>
          <t>Análisis de resultados</t>
        </r>
        <r>
          <rPr>
            <sz val="12"/>
            <color indexed="81"/>
            <rFont val="Tahoma"/>
            <family val="2"/>
          </rPr>
          <t xml:space="preserve"> se completan de manera automática. La </t>
        </r>
        <r>
          <rPr>
            <b/>
            <sz val="12"/>
            <color indexed="81"/>
            <rFont val="Tahoma"/>
            <family val="2"/>
          </rPr>
          <t>Tabla de especificaciones</t>
        </r>
        <r>
          <rPr>
            <sz val="12"/>
            <color indexed="81"/>
            <rFont val="Tahoma"/>
            <family val="2"/>
          </rPr>
          <t xml:space="preserve"> ya está completa y no es modificable.</t>
        </r>
      </text>
    </comment>
    <comment ref="V9" authorId="1" shapeId="0" xr:uid="{00000000-0006-0000-0400-000002000000}">
      <text>
        <r>
          <rPr>
            <b/>
            <sz val="12"/>
            <color indexed="81"/>
            <rFont val="Tahoma"/>
            <family val="2"/>
          </rPr>
          <t xml:space="preserve">Fecha:
</t>
        </r>
        <r>
          <rPr>
            <sz val="12"/>
            <color indexed="81"/>
            <rFont val="Tahoma"/>
            <family val="2"/>
          </rPr>
          <t xml:space="preserve">Día/Mes/Año
Ejemplo:
01/04/2022
</t>
        </r>
      </text>
    </comment>
    <comment ref="B13" authorId="2" shapeId="0" xr:uid="{00000000-0006-0000-0400-000003000000}">
      <text>
        <r>
          <rPr>
            <b/>
            <sz val="12"/>
            <color indexed="81"/>
            <rFont val="Tahoma"/>
            <family val="2"/>
          </rPr>
          <t>Indicaciones:</t>
        </r>
        <r>
          <rPr>
            <sz val="12"/>
            <color indexed="81"/>
            <rFont val="Tahoma"/>
            <family val="2"/>
          </rPr>
          <t xml:space="preserve">
- Primero, registre a todos los estudiantes del aula. 
- Luego, la asistencia. 
- En tercer lugar, las respuestas de los estudiantes.</t>
        </r>
      </text>
    </comment>
    <comment ref="C13" authorId="3" shapeId="0" xr:uid="{00000000-0006-0000-0400-000004000000}">
      <text>
        <r>
          <rPr>
            <b/>
            <sz val="12"/>
            <color indexed="81"/>
            <rFont val="Tahoma"/>
            <family val="2"/>
          </rPr>
          <t>Asistencia: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</t>
        </r>
        <r>
          <rPr>
            <sz val="12"/>
            <color indexed="81"/>
            <rFont val="Tahoma"/>
            <family val="2"/>
          </rPr>
          <t xml:space="preserve"> = Presente
</t>
        </r>
        <r>
          <rPr>
            <b/>
            <sz val="12"/>
            <color indexed="81"/>
            <rFont val="Tahoma"/>
            <family val="2"/>
          </rPr>
          <t>NP</t>
        </r>
        <r>
          <rPr>
            <sz val="12"/>
            <color indexed="81"/>
            <rFont val="Tahoma"/>
            <family val="2"/>
          </rPr>
          <t xml:space="preserve"> = No presente</t>
        </r>
      </text>
    </comment>
  </commentList>
</comments>
</file>

<file path=xl/sharedStrings.xml><?xml version="1.0" encoding="utf-8"?>
<sst xmlns="http://schemas.openxmlformats.org/spreadsheetml/2006/main" count="2273" uniqueCount="180">
  <si>
    <t>P</t>
  </si>
  <si>
    <t>Conozcamos nuestros aprendizajes</t>
  </si>
  <si>
    <t>Institución Educativa:</t>
  </si>
  <si>
    <t>Sección:</t>
  </si>
  <si>
    <t>Turno:</t>
  </si>
  <si>
    <t>Presentes:</t>
  </si>
  <si>
    <t>Docente:</t>
  </si>
  <si>
    <t>Fecha:</t>
  </si>
  <si>
    <t>Ausentes:</t>
  </si>
  <si>
    <t>Nombre del texto</t>
  </si>
  <si>
    <t>COMPETENCIA</t>
  </si>
  <si>
    <t>Resumen de las respuestas de cada estudiante</t>
  </si>
  <si>
    <t>Nº</t>
  </si>
  <si>
    <t>Apellidos y nombres de los estudiantes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</si>
  <si>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</si>
  <si>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</si>
  <si>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</si>
  <si>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</si>
  <si>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</si>
  <si>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</si>
  <si>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</si>
  <si>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</si>
  <si>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</si>
  <si>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</si>
  <si>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</si>
  <si>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</si>
  <si>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</si>
  <si>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</si>
  <si>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</si>
  <si>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</si>
  <si>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</si>
  <si>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</si>
  <si>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</si>
  <si>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</si>
  <si>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</si>
  <si>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</si>
  <si>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</si>
  <si>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</si>
  <si>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</si>
  <si>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ESYA</t>
  </si>
  <si>
    <t>UN PEQUEÑO PEZ COLGANTE</t>
  </si>
  <si>
    <t>AVELINA CRUZ, LA MUJER QUE CONVIERTE EL TEJIDO DE CUATRO ESTACAS EN ARTE</t>
  </si>
  <si>
    <t>VACUNACIÓN DE MASCOTAS</t>
  </si>
  <si>
    <t>Capacidad 1</t>
  </si>
  <si>
    <t>Capacidad 2</t>
  </si>
  <si>
    <t>Capacidad 3</t>
  </si>
  <si>
    <t>Capacidad 4</t>
  </si>
  <si>
    <t>Capacidad 6</t>
  </si>
  <si>
    <t>Capacidad 5</t>
  </si>
  <si>
    <t>DONACIÓN DE BICICLETAS</t>
  </si>
  <si>
    <t>ASISTENCIA</t>
  </si>
  <si>
    <t>CAPACIDADES</t>
  </si>
  <si>
    <t>Registro de Lectura de 6°. Grado de primaria</t>
  </si>
  <si>
    <t>✔️</t>
  </si>
  <si>
    <t>❌</t>
  </si>
  <si>
    <t>➖</t>
  </si>
  <si>
    <t>Adecuadas (✔)</t>
  </si>
  <si>
    <t>Inadecuadas (X)</t>
  </si>
  <si>
    <t>Omitidas (—)</t>
  </si>
  <si>
    <t>Resumen de respuestas del aula</t>
  </si>
  <si>
    <t>Adecuadas(✔️)</t>
  </si>
  <si>
    <t>Inadecuadas(❌)</t>
  </si>
  <si>
    <t>Omitidas(➖)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</si>
  <si>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</si>
  <si>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</si>
  <si>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</si>
  <si>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</si>
  <si>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</si>
  <si>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</si>
  <si>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</si>
  <si>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</si>
  <si>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</si>
  <si>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</si>
  <si>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</si>
  <si>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</si>
  <si>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</si>
  <si>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</si>
  <si>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</si>
  <si>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</si>
  <si>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</si>
  <si>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</si>
  <si>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</si>
  <si>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</si>
  <si>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</si>
  <si>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</si>
  <si>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</si>
  <si>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</si>
  <si>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Obtiene Informacion del texto escrito.</t>
  </si>
  <si>
    <t>Infiere e interpreta informacion del texto.</t>
  </si>
  <si>
    <t>Reflexiona y evalua la forma, el contenido y contexto del texto.</t>
  </si>
  <si>
    <t>COMPETENCIAS</t>
  </si>
  <si>
    <t>P26</t>
  </si>
  <si>
    <t>P27</t>
  </si>
  <si>
    <t>P28</t>
  </si>
  <si>
    <t>PRESENTE</t>
  </si>
  <si>
    <t>AUSENTE</t>
  </si>
  <si>
    <t>⚫</t>
  </si>
  <si>
    <t>Registro de Matemática de 6°. Grado de primaria</t>
  </si>
  <si>
    <r>
      <t>Adecuadas (</t>
    </r>
    <r>
      <rPr>
        <b/>
        <sz val="20"/>
        <color rgb="FF00B050"/>
        <rFont val="Arial Narrow"/>
        <family val="2"/>
      </rPr>
      <t>✔</t>
    </r>
    <r>
      <rPr>
        <b/>
        <sz val="20"/>
        <color theme="1"/>
        <rFont val="Arial Narrow"/>
        <family val="2"/>
      </rPr>
      <t>)</t>
    </r>
  </si>
  <si>
    <r>
      <t>Parciales (</t>
    </r>
    <r>
      <rPr>
        <b/>
        <sz val="20"/>
        <color rgb="FFFFC000"/>
        <rFont val="Arial Narrow"/>
        <family val="2"/>
      </rPr>
      <t>⚫</t>
    </r>
    <r>
      <rPr>
        <b/>
        <sz val="20"/>
        <color theme="1"/>
        <rFont val="Arial Narrow"/>
        <family val="2"/>
      </rPr>
      <t>)</t>
    </r>
  </si>
  <si>
    <r>
      <t>Inadecuadas (</t>
    </r>
    <r>
      <rPr>
        <b/>
        <sz val="20"/>
        <color rgb="FFFF0000"/>
        <rFont val="Arial Narrow"/>
        <family val="2"/>
      </rPr>
      <t>X</t>
    </r>
    <r>
      <rPr>
        <b/>
        <sz val="20"/>
        <color theme="1"/>
        <rFont val="Arial Narrow"/>
        <family val="2"/>
      </rPr>
      <t>)</t>
    </r>
  </si>
  <si>
    <r>
      <t>Adecuadas(</t>
    </r>
    <r>
      <rPr>
        <b/>
        <sz val="26"/>
        <color rgb="FF00B050"/>
        <rFont val="Calibri"/>
        <family val="2"/>
        <scheme val="minor"/>
      </rPr>
      <t>✔️</t>
    </r>
    <r>
      <rPr>
        <b/>
        <sz val="26"/>
        <color theme="1"/>
        <rFont val="Calibri"/>
        <family val="2"/>
        <scheme val="minor"/>
      </rPr>
      <t>)</t>
    </r>
  </si>
  <si>
    <r>
      <t>Parciales(</t>
    </r>
    <r>
      <rPr>
        <b/>
        <sz val="26"/>
        <color rgb="FFFFC000"/>
        <rFont val="Calibri"/>
        <family val="2"/>
        <scheme val="minor"/>
      </rPr>
      <t>⚫</t>
    </r>
    <r>
      <rPr>
        <b/>
        <sz val="26"/>
        <color theme="1"/>
        <rFont val="Calibri"/>
        <family val="2"/>
        <scheme val="minor"/>
      </rPr>
      <t>)</t>
    </r>
  </si>
  <si>
    <r>
      <t>Inadecuadas(</t>
    </r>
    <r>
      <rPr>
        <b/>
        <sz val="26"/>
        <color rgb="FFFF0000"/>
        <rFont val="Calibri"/>
        <family val="2"/>
        <scheme val="minor"/>
      </rPr>
      <t>❌</t>
    </r>
    <r>
      <rPr>
        <b/>
        <sz val="26"/>
        <color theme="1"/>
        <rFont val="Calibri"/>
        <family val="2"/>
        <scheme val="minor"/>
      </rPr>
      <t>)</t>
    </r>
  </si>
  <si>
    <t>NIVEL ALCANZADO</t>
  </si>
  <si>
    <t>APELLIDOS  Y NOMBRES DEL ESTUDIANTE</t>
  </si>
  <si>
    <t>CAPACIDAD GENERAL 1</t>
  </si>
  <si>
    <t>CAPACIDAD GENERAL 2</t>
  </si>
  <si>
    <t>CAPACIDAD GENERAL 3</t>
  </si>
  <si>
    <t>PORCENTAJE</t>
  </si>
  <si>
    <t>PORCENTAJE %</t>
  </si>
  <si>
    <t xml:space="preserve"> </t>
  </si>
  <si>
    <t>Infiere  e interpreta información del texto.</t>
  </si>
  <si>
    <t>Obtiene información del texto escrito</t>
  </si>
  <si>
    <t>Reflexiona y evalúa  la forma, el contennido y el contexto del texto.</t>
  </si>
  <si>
    <t>H</t>
  </si>
  <si>
    <t>G</t>
  </si>
  <si>
    <t>F</t>
  </si>
  <si>
    <t>E</t>
  </si>
  <si>
    <t>D</t>
  </si>
  <si>
    <t>C</t>
  </si>
  <si>
    <t>B</t>
  </si>
  <si>
    <t>A</t>
  </si>
  <si>
    <t>SEXTO GRADO</t>
  </si>
  <si>
    <t>QUINTO GRADO</t>
  </si>
  <si>
    <t>CUARTO GRADO</t>
  </si>
  <si>
    <t>TERCER GRADO</t>
  </si>
  <si>
    <t>SEGUNDO GRADO</t>
  </si>
  <si>
    <t>PRIMER GRADO</t>
  </si>
  <si>
    <t>NIVEL:  PRIMARIA</t>
  </si>
  <si>
    <t>S</t>
  </si>
  <si>
    <t>I</t>
  </si>
  <si>
    <t>P.I</t>
  </si>
  <si>
    <t>PI</t>
  </si>
  <si>
    <t>NIVEL: PRIMARIA</t>
  </si>
  <si>
    <t>NIVEL DE SATISFACCION DE APRENDIZAJE</t>
  </si>
  <si>
    <t>NIVEL DE LOGRO DE LAS CAPACIDADES</t>
  </si>
  <si>
    <t>COMPETENCIA 1</t>
  </si>
  <si>
    <t>COMPETENCIA 2</t>
  </si>
  <si>
    <t>COMPETENCIA 3</t>
  </si>
  <si>
    <t>COMPETENCIA 4</t>
  </si>
  <si>
    <t>Resuelve problemas de cantidad.(1)</t>
  </si>
  <si>
    <t>Resuelve problemas de forma, movimiento y localizacion.(3)</t>
  </si>
  <si>
    <t>Resuelve problemas de gestion de datos e incertidumbre.(4)</t>
  </si>
  <si>
    <t>PORCENTAJE(%)</t>
  </si>
  <si>
    <t>Resuelve problemas de regularidad, equivalencia y cambio.(2)</t>
  </si>
  <si>
    <t>ARIMUYA GONZALES EDY</t>
  </si>
  <si>
    <t>ARTEGA PEREZ DELIA</t>
  </si>
  <si>
    <t>AMASIFUEN MUÑOZ LENY</t>
  </si>
  <si>
    <t>ARIRAMA MOZOMBITE PEDRO</t>
  </si>
  <si>
    <t>BABILONIA TORRES MARIA</t>
  </si>
  <si>
    <t>BENZAQUEN MARIN ELDA</t>
  </si>
  <si>
    <t>BARDALES BURGA LIA</t>
  </si>
  <si>
    <t>CARDENAS RUIZ ZULEMA</t>
  </si>
  <si>
    <t>CAINAMARI LAULATE EDGAR</t>
  </si>
  <si>
    <t>CURINUQUI NAVAS MARCELO</t>
  </si>
  <si>
    <t>DAMASO DANCOURT MARIELA</t>
  </si>
  <si>
    <t>DORADO TEVES MARIO</t>
  </si>
  <si>
    <t>FERNANDEZ TUISIA ERNESTO</t>
  </si>
  <si>
    <t>FASANANDO TAVARES PETER</t>
  </si>
  <si>
    <t>FATAMA MELEMDEZ DARIO</t>
  </si>
  <si>
    <t>GAVIRIA NOVOA PERLITA</t>
  </si>
  <si>
    <t>GUERRA SINARAHUA MANUELA</t>
  </si>
  <si>
    <t>GUIBIN MANZUR MILAGROS</t>
  </si>
  <si>
    <t>HORNA MARAPARA CARLOS</t>
  </si>
  <si>
    <t>HINOSTROZA LOMAS KARLA</t>
  </si>
  <si>
    <t>INUMA PANDURO JOAQUIN</t>
  </si>
  <si>
    <t>ISLA CONTRERAS ROMINA</t>
  </si>
  <si>
    <t>JARAMA FONSECA ROSAURA</t>
  </si>
  <si>
    <t>JIMENEZ DAHUA PATRICIA</t>
  </si>
  <si>
    <t>LOPEZ CAMAN PRISCILA</t>
  </si>
  <si>
    <t>LAULATE PADILLA ANGELA</t>
  </si>
  <si>
    <t>MORA CHAVEZ TANIA</t>
  </si>
  <si>
    <t>MENDEZ MAMAMI DALIA</t>
  </si>
  <si>
    <t>NORIEGA LINARES JOSE</t>
  </si>
  <si>
    <t>GRADO:</t>
  </si>
  <si>
    <t>SECCIÓN:</t>
  </si>
  <si>
    <t>˃</t>
  </si>
  <si>
    <t>NIVEL DE LOGRO DE LAS COMPETENCIAS</t>
  </si>
  <si>
    <t>5°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</si>
</sst>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61" x14ac:knownFonts="1">
    <font>
      <sz val="11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11"/>
      <color theme="1"/>
      <name val="Arial Narrow"/>
      <family val="2"/>
    </font>
    <font>
      <sz val="8"/>
      <name val="Arial Narrow"/>
      <family val="2"/>
    </font>
    <font>
      <b/>
      <sz val="11"/>
      <color theme="1"/>
      <name val="Arial Narrow"/>
      <family val="2"/>
    </font>
    <font>
      <sz val="12"/>
      <color theme="1"/>
      <name val="Arial Narrow"/>
      <family val="2"/>
    </font>
    <font>
      <b/>
      <sz val="10"/>
      <color theme="1"/>
      <name val="Arial Narrow"/>
      <family val="2"/>
    </font>
    <font>
      <b/>
      <sz val="8"/>
      <color theme="1"/>
      <name val="Arial Narrow"/>
      <family val="2"/>
    </font>
    <font>
      <b/>
      <sz val="14"/>
      <color theme="1"/>
      <name val="Arial Narrow"/>
      <family val="2"/>
    </font>
    <font>
      <sz val="12"/>
      <color indexed="81"/>
      <name val="Tahoma"/>
      <family val="2"/>
    </font>
    <font>
      <b/>
      <sz val="12"/>
      <color indexed="81"/>
      <name val="Tahoma"/>
      <family val="2"/>
    </font>
    <font>
      <sz val="8"/>
      <name val="Calibri"/>
      <family val="2"/>
      <scheme val="minor"/>
    </font>
    <font>
      <b/>
      <sz val="20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Arial Narrow"/>
      <family val="2"/>
    </font>
    <font>
      <sz val="20"/>
      <color theme="1"/>
      <name val="Arial Narrow"/>
      <family val="2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6"/>
      <color rgb="FF006100"/>
      <name val="Calibri"/>
      <family val="2"/>
      <scheme val="minor"/>
    </font>
    <font>
      <b/>
      <sz val="26"/>
      <color theme="1"/>
      <name val="Arial Narrow"/>
      <family val="2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6"/>
      <name val="Calibri"/>
      <family val="2"/>
      <scheme val="minor"/>
    </font>
    <font>
      <b/>
      <sz val="24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6"/>
      <color rgb="FF00B050"/>
      <name val="Calibri"/>
      <family val="2"/>
      <scheme val="minor"/>
    </font>
    <font>
      <b/>
      <sz val="28"/>
      <color theme="1"/>
      <name val="Arial Narrow"/>
      <family val="2"/>
    </font>
    <font>
      <sz val="28"/>
      <color theme="1"/>
      <name val="Calibri"/>
      <family val="2"/>
      <scheme val="minor"/>
    </font>
    <font>
      <b/>
      <sz val="48"/>
      <color theme="1" tint="0.499984740745262"/>
      <name val="Arial Black"/>
      <family val="2"/>
    </font>
    <font>
      <b/>
      <sz val="36"/>
      <color theme="1"/>
      <name val="Arial Black"/>
      <family val="2"/>
    </font>
    <font>
      <sz val="26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6"/>
      <color rgb="FFFFC000"/>
      <name val="Calibri"/>
      <family val="2"/>
      <scheme val="minor"/>
    </font>
    <font>
      <b/>
      <sz val="20"/>
      <color rgb="FF00B050"/>
      <name val="Arial Narrow"/>
      <family val="2"/>
    </font>
    <font>
      <b/>
      <sz val="20"/>
      <color rgb="FFFFC000"/>
      <name val="Arial Narrow"/>
      <family val="2"/>
    </font>
    <font>
      <b/>
      <sz val="20"/>
      <color rgb="FFFF0000"/>
      <name val="Arial Narrow"/>
      <family val="2"/>
    </font>
    <font>
      <sz val="28"/>
      <color theme="1"/>
      <name val="Arial Narrow"/>
      <family val="2"/>
    </font>
    <font>
      <b/>
      <sz val="36"/>
      <color theme="1" tint="0.499984740745262"/>
      <name val="Arial Black"/>
      <family val="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Arial Narrow"/>
      <family val="2"/>
    </font>
    <font>
      <b/>
      <sz val="100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0"/>
      <color rgb="FF000000"/>
      <name val="Calibri"/>
      <family val="2"/>
    </font>
    <font>
      <b/>
      <sz val="7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00B050"/>
        <bgColor indexed="64"/>
      </patternFill>
    </fill>
    <fill>
      <patternFill patternType="solid">
        <fgColor rgb="FF913779"/>
        <bgColor indexed="64"/>
      </patternFill>
    </fill>
    <fill>
      <patternFill patternType="solid">
        <fgColor rgb="FFE6D6F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3" fillId="5" borderId="0" applyNumberFormat="0" applyBorder="0" applyAlignment="0" applyProtection="0"/>
    <xf numFmtId="0" fontId="22" fillId="6" borderId="1">
      <alignment horizontal="center" vertical="center"/>
    </xf>
    <xf numFmtId="0" fontId="20" fillId="7" borderId="1">
      <alignment horizontal="center" vertical="center"/>
    </xf>
    <xf numFmtId="0" fontId="21" fillId="8" borderId="1" applyAlignment="0">
      <alignment horizontal="center"/>
    </xf>
    <xf numFmtId="0" fontId="24" fillId="9" borderId="0" applyNumberFormat="0" applyBorder="0" applyAlignment="0" applyProtection="0"/>
    <xf numFmtId="0" fontId="25" fillId="10" borderId="0" applyNumberFormat="0" applyBorder="0" applyAlignment="0" applyProtection="0"/>
    <xf numFmtId="0" fontId="21" fillId="11" borderId="9">
      <alignment horizontal="center"/>
    </xf>
    <xf numFmtId="0" fontId="19" fillId="12" borderId="2" applyBorder="0">
      <alignment horizontal="center" vertical="center" wrapText="1"/>
    </xf>
    <xf numFmtId="0" fontId="21" fillId="13" borderId="1" applyBorder="0" applyAlignment="0">
      <alignment horizontal="center" vertical="center"/>
    </xf>
    <xf numFmtId="9" fontId="13" fillId="0" borderId="0" applyFont="0" applyFill="0" applyBorder="0" applyAlignment="0" applyProtection="0"/>
  </cellStyleXfs>
  <cellXfs count="353">
    <xf numFmtId="0" fontId="0" fillId="0" borderId="0" xfId="0"/>
    <xf numFmtId="0" fontId="0" fillId="0" borderId="0" xfId="0" applyProtection="1"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2" borderId="0" xfId="0" applyNumberFormat="1" applyFont="1" applyFill="1" applyAlignment="1" applyProtection="1">
      <alignment horizontal="center"/>
      <protection locked="0"/>
    </xf>
    <xf numFmtId="0" fontId="2" fillId="2" borderId="0" xfId="0" applyFont="1" applyFill="1" applyProtection="1"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 wrapText="1"/>
      <protection locked="0"/>
    </xf>
    <xf numFmtId="0" fontId="8" fillId="0" borderId="0" xfId="0" applyFont="1" applyAlignment="1" applyProtection="1">
      <alignment vertical="center"/>
      <protection locked="0"/>
    </xf>
    <xf numFmtId="0" fontId="20" fillId="0" borderId="0" xfId="0" applyFont="1" applyProtection="1">
      <protection locked="0"/>
    </xf>
    <xf numFmtId="0" fontId="19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0" fontId="21" fillId="8" borderId="1" xfId="6" applyAlignment="1" applyProtection="1">
      <protection locked="0"/>
    </xf>
    <xf numFmtId="0" fontId="21" fillId="3" borderId="20" xfId="1" applyFont="1" applyBorder="1" applyAlignment="1" applyProtection="1">
      <alignment horizontal="center" vertical="center"/>
    </xf>
    <xf numFmtId="0" fontId="21" fillId="3" borderId="21" xfId="1" applyFont="1" applyBorder="1" applyAlignment="1" applyProtection="1">
      <alignment horizontal="center" vertical="center"/>
    </xf>
    <xf numFmtId="0" fontId="21" fillId="7" borderId="21" xfId="5" applyFont="1" applyBorder="1">
      <alignment horizontal="center" vertical="center"/>
    </xf>
    <xf numFmtId="0" fontId="21" fillId="6" borderId="21" xfId="4" applyFont="1" applyBorder="1">
      <alignment horizontal="center" vertical="center"/>
    </xf>
    <xf numFmtId="0" fontId="21" fillId="6" borderId="22" xfId="4" applyFont="1" applyBorder="1">
      <alignment horizontal="center" vertical="center"/>
    </xf>
    <xf numFmtId="0" fontId="21" fillId="0" borderId="8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8" borderId="6" xfId="6" applyBorder="1" applyAlignment="1">
      <alignment horizontal="center"/>
    </xf>
    <xf numFmtId="0" fontId="21" fillId="8" borderId="1" xfId="6" applyAlignment="1">
      <alignment horizontal="center"/>
    </xf>
    <xf numFmtId="0" fontId="21" fillId="0" borderId="17" xfId="0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8" borderId="1" xfId="6" applyAlignment="1">
      <alignment horizontal="center" vertical="center"/>
    </xf>
    <xf numFmtId="0" fontId="21" fillId="8" borderId="1" xfId="6" applyAlignment="1">
      <alignment horizontal="left" vertical="center" wrapText="1"/>
    </xf>
    <xf numFmtId="0" fontId="21" fillId="0" borderId="1" xfId="0" applyFont="1" applyBorder="1" applyAlignment="1">
      <alignment horizontal="center" vertical="center"/>
    </xf>
    <xf numFmtId="0" fontId="21" fillId="3" borderId="23" xfId="1" applyFont="1" applyBorder="1" applyAlignment="1" applyProtection="1">
      <alignment horizontal="center" vertical="center"/>
    </xf>
    <xf numFmtId="0" fontId="21" fillId="7" borderId="23" xfId="5" applyFont="1" applyBorder="1">
      <alignment horizontal="center" vertical="center"/>
    </xf>
    <xf numFmtId="0" fontId="21" fillId="7" borderId="22" xfId="5" applyFont="1" applyBorder="1">
      <alignment horizontal="center" vertical="center"/>
    </xf>
    <xf numFmtId="0" fontId="21" fillId="3" borderId="22" xfId="1" applyFont="1" applyBorder="1" applyAlignment="1" applyProtection="1">
      <alignment horizontal="center" vertical="center"/>
    </xf>
    <xf numFmtId="164" fontId="23" fillId="0" borderId="10" xfId="0" applyNumberFormat="1" applyFont="1" applyBorder="1" applyAlignment="1">
      <alignment horizontal="center"/>
    </xf>
    <xf numFmtId="0" fontId="26" fillId="0" borderId="0" xfId="0" applyFont="1" applyProtection="1">
      <protection locked="0"/>
    </xf>
    <xf numFmtId="0" fontId="27" fillId="9" borderId="9" xfId="7" applyFont="1" applyBorder="1" applyAlignment="1" applyProtection="1">
      <alignment horizontal="center"/>
    </xf>
    <xf numFmtId="0" fontId="27" fillId="10" borderId="9" xfId="8" applyFont="1" applyBorder="1" applyAlignment="1" applyProtection="1">
      <alignment horizontal="center"/>
    </xf>
    <xf numFmtId="0" fontId="27" fillId="8" borderId="1" xfId="6" applyFont="1" applyAlignment="1">
      <alignment horizontal="center"/>
    </xf>
    <xf numFmtId="0" fontId="28" fillId="7" borderId="1" xfId="5" applyFont="1">
      <alignment horizontal="center" vertical="center"/>
    </xf>
    <xf numFmtId="0" fontId="27" fillId="6" borderId="1" xfId="4" applyFont="1">
      <alignment horizontal="center" vertical="center"/>
    </xf>
    <xf numFmtId="0" fontId="27" fillId="11" borderId="9" xfId="9" applyFont="1">
      <alignment horizontal="center"/>
    </xf>
    <xf numFmtId="0" fontId="21" fillId="0" borderId="6" xfId="0" applyFont="1" applyBorder="1" applyAlignment="1">
      <alignment horizontal="center" vertical="center"/>
    </xf>
    <xf numFmtId="0" fontId="21" fillId="8" borderId="20" xfId="6" applyBorder="1" applyAlignment="1">
      <alignment horizontal="center" vertical="center"/>
    </xf>
    <xf numFmtId="0" fontId="21" fillId="8" borderId="21" xfId="6" applyBorder="1" applyAlignment="1">
      <alignment horizontal="center" vertical="center"/>
    </xf>
    <xf numFmtId="0" fontId="21" fillId="8" borderId="22" xfId="6" applyBorder="1" applyAlignment="1">
      <alignment horizontal="center" vertical="center"/>
    </xf>
    <xf numFmtId="0" fontId="21" fillId="8" borderId="4" xfId="6" applyBorder="1" applyAlignment="1">
      <alignment horizontal="center" vertical="center" wrapText="1"/>
    </xf>
    <xf numFmtId="0" fontId="21" fillId="0" borderId="0" xfId="0" applyFont="1" applyAlignment="1" applyProtection="1">
      <alignment vertical="center" wrapText="1"/>
      <protection locked="0"/>
    </xf>
    <xf numFmtId="0" fontId="19" fillId="0" borderId="37" xfId="0" applyFont="1" applyBorder="1" applyProtection="1">
      <protection locked="0"/>
    </xf>
    <xf numFmtId="164" fontId="23" fillId="0" borderId="40" xfId="0" applyNumberFormat="1" applyFont="1" applyBorder="1" applyAlignment="1">
      <alignment horizontal="center"/>
    </xf>
    <xf numFmtId="164" fontId="23" fillId="0" borderId="47" xfId="0" applyNumberFormat="1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0" fillId="0" borderId="33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5" xfId="0" applyBorder="1" applyProtection="1">
      <protection locked="0"/>
    </xf>
    <xf numFmtId="0" fontId="21" fillId="0" borderId="13" xfId="0" applyFont="1" applyBorder="1" applyAlignment="1">
      <alignment horizontal="center" vertical="center"/>
    </xf>
    <xf numFmtId="0" fontId="21" fillId="0" borderId="50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31" fillId="0" borderId="1" xfId="0" applyFont="1" applyBorder="1" applyAlignment="1">
      <alignment horizontal="right" vertical="center"/>
    </xf>
    <xf numFmtId="0" fontId="21" fillId="0" borderId="4" xfId="0" applyFont="1" applyBorder="1" applyAlignment="1">
      <alignment horizontal="center" vertical="center"/>
    </xf>
    <xf numFmtId="0" fontId="0" fillId="0" borderId="43" xfId="0" applyBorder="1" applyProtection="1">
      <protection locked="0"/>
    </xf>
    <xf numFmtId="0" fontId="21" fillId="0" borderId="32" xfId="0" applyFont="1" applyBorder="1" applyAlignment="1">
      <alignment horizontal="center"/>
    </xf>
    <xf numFmtId="0" fontId="21" fillId="0" borderId="29" xfId="0" applyFont="1" applyBorder="1" applyProtection="1">
      <protection locked="0"/>
    </xf>
    <xf numFmtId="0" fontId="21" fillId="0" borderId="13" xfId="0" applyFont="1" applyBorder="1" applyAlignment="1" applyProtection="1">
      <alignment horizontal="center" vertical="center"/>
      <protection locked="0"/>
    </xf>
    <xf numFmtId="0" fontId="21" fillId="0" borderId="39" xfId="0" applyFont="1" applyBorder="1" applyAlignment="1" applyProtection="1">
      <alignment horizontal="center" vertical="center"/>
      <protection locked="0"/>
    </xf>
    <xf numFmtId="0" fontId="21" fillId="0" borderId="55" xfId="0" applyFont="1" applyBorder="1" applyAlignment="1" applyProtection="1">
      <alignment horizontal="center" vertical="center"/>
      <protection locked="0"/>
    </xf>
    <xf numFmtId="0" fontId="21" fillId="0" borderId="14" xfId="0" applyFont="1" applyBorder="1" applyAlignment="1" applyProtection="1">
      <alignment horizontal="center" vertical="center"/>
      <protection locked="0"/>
    </xf>
    <xf numFmtId="0" fontId="21" fillId="0" borderId="61" xfId="0" applyFont="1" applyBorder="1" applyAlignment="1" applyProtection="1">
      <alignment horizontal="center" vertical="center"/>
      <protection locked="0"/>
    </xf>
    <xf numFmtId="0" fontId="21" fillId="13" borderId="37" xfId="11" applyBorder="1" applyAlignment="1" applyProtection="1">
      <protection locked="0"/>
    </xf>
    <xf numFmtId="0" fontId="21" fillId="13" borderId="29" xfId="11" applyBorder="1" applyAlignment="1" applyProtection="1">
      <protection locked="0"/>
    </xf>
    <xf numFmtId="0" fontId="21" fillId="13" borderId="12" xfId="11" applyBorder="1" applyAlignment="1" applyProtection="1">
      <alignment horizontal="center" vertical="center"/>
      <protection locked="0"/>
    </xf>
    <xf numFmtId="0" fontId="21" fillId="13" borderId="1" xfId="11" applyBorder="1" applyAlignment="1" applyProtection="1">
      <alignment horizontal="center" vertical="center"/>
      <protection locked="0"/>
    </xf>
    <xf numFmtId="0" fontId="21" fillId="13" borderId="29" xfId="11" applyBorder="1" applyAlignment="1" applyProtection="1">
      <alignment horizontal="center" vertical="center"/>
      <protection locked="0"/>
    </xf>
    <xf numFmtId="0" fontId="21" fillId="13" borderId="45" xfId="11" applyBorder="1" applyAlignment="1" applyProtection="1">
      <alignment horizontal="center" vertical="center"/>
      <protection locked="0"/>
    </xf>
    <xf numFmtId="0" fontId="21" fillId="13" borderId="11" xfId="11" applyBorder="1" applyAlignment="1" applyProtection="1">
      <alignment horizontal="center" vertical="center"/>
      <protection locked="0"/>
    </xf>
    <xf numFmtId="0" fontId="21" fillId="13" borderId="4" xfId="11" applyBorder="1" applyAlignment="1" applyProtection="1">
      <alignment horizontal="center" vertical="center"/>
      <protection locked="0"/>
    </xf>
    <xf numFmtId="0" fontId="21" fillId="0" borderId="12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21" fillId="0" borderId="29" xfId="0" applyFont="1" applyBorder="1" applyAlignment="1" applyProtection="1">
      <alignment horizontal="center" vertical="center"/>
      <protection locked="0"/>
    </xf>
    <xf numFmtId="0" fontId="21" fillId="0" borderId="45" xfId="0" applyFont="1" applyBorder="1" applyAlignment="1" applyProtection="1">
      <alignment horizontal="center" vertical="center"/>
      <protection locked="0"/>
    </xf>
    <xf numFmtId="0" fontId="21" fillId="0" borderId="11" xfId="0" applyFont="1" applyBorder="1" applyAlignment="1" applyProtection="1">
      <alignment horizontal="center" vertical="center"/>
      <protection locked="0"/>
    </xf>
    <xf numFmtId="0" fontId="21" fillId="0" borderId="4" xfId="0" applyFont="1" applyBorder="1" applyAlignment="1" applyProtection="1">
      <alignment horizontal="center" vertical="center"/>
      <protection locked="0"/>
    </xf>
    <xf numFmtId="0" fontId="21" fillId="13" borderId="38" xfId="11" applyBorder="1" applyAlignment="1" applyProtection="1">
      <protection locked="0"/>
    </xf>
    <xf numFmtId="0" fontId="21" fillId="13" borderId="62" xfId="11" applyBorder="1" applyAlignment="1" applyProtection="1">
      <protection locked="0"/>
    </xf>
    <xf numFmtId="0" fontId="21" fillId="13" borderId="15" xfId="11" applyBorder="1" applyAlignment="1" applyProtection="1">
      <alignment horizontal="center" vertical="center"/>
      <protection locked="0"/>
    </xf>
    <xf numFmtId="0" fontId="21" fillId="13" borderId="18" xfId="11" applyBorder="1" applyAlignment="1" applyProtection="1">
      <alignment horizontal="center" vertical="center"/>
      <protection locked="0"/>
    </xf>
    <xf numFmtId="0" fontId="21" fillId="13" borderId="62" xfId="11" applyBorder="1" applyAlignment="1" applyProtection="1">
      <alignment horizontal="center" vertical="center"/>
      <protection locked="0"/>
    </xf>
    <xf numFmtId="0" fontId="21" fillId="13" borderId="46" xfId="11" applyBorder="1" applyAlignment="1" applyProtection="1">
      <alignment horizontal="center" vertical="center"/>
      <protection locked="0"/>
    </xf>
    <xf numFmtId="0" fontId="21" fillId="13" borderId="16" xfId="11" applyBorder="1" applyAlignment="1" applyProtection="1">
      <alignment horizontal="center" vertical="center"/>
      <protection locked="0"/>
    </xf>
    <xf numFmtId="0" fontId="21" fillId="13" borderId="49" xfId="11" applyBorder="1" applyAlignment="1" applyProtection="1">
      <alignment horizontal="center" vertical="center"/>
      <protection locked="0"/>
    </xf>
    <xf numFmtId="0" fontId="21" fillId="3" borderId="52" xfId="1" applyFont="1" applyBorder="1" applyAlignment="1" applyProtection="1">
      <alignment horizontal="center" vertical="center"/>
      <protection locked="0"/>
    </xf>
    <xf numFmtId="0" fontId="21" fillId="3" borderId="26" xfId="1" applyFont="1" applyBorder="1" applyAlignment="1" applyProtection="1">
      <alignment horizontal="center" vertical="center"/>
      <protection locked="0"/>
    </xf>
    <xf numFmtId="0" fontId="21" fillId="7" borderId="27" xfId="5" applyFont="1" applyBorder="1" applyProtection="1">
      <alignment horizontal="center" vertical="center"/>
      <protection locked="0"/>
    </xf>
    <xf numFmtId="0" fontId="21" fillId="6" borderId="24" xfId="4" applyFont="1" applyBorder="1" applyProtection="1">
      <alignment horizontal="center" vertical="center"/>
      <protection locked="0"/>
    </xf>
    <xf numFmtId="0" fontId="21" fillId="7" borderId="28" xfId="5" applyFont="1" applyBorder="1" applyProtection="1">
      <alignment horizontal="center" vertical="center"/>
      <protection locked="0"/>
    </xf>
    <xf numFmtId="0" fontId="21" fillId="6" borderId="27" xfId="4" applyFont="1" applyBorder="1" applyProtection="1">
      <alignment horizontal="center" vertical="center"/>
      <protection locked="0"/>
    </xf>
    <xf numFmtId="0" fontId="21" fillId="3" borderId="27" xfId="1" applyFont="1" applyBorder="1" applyAlignment="1" applyProtection="1">
      <alignment horizontal="center" vertical="center"/>
      <protection locked="0"/>
    </xf>
    <xf numFmtId="0" fontId="21" fillId="7" borderId="24" xfId="5" applyFont="1" applyBorder="1" applyProtection="1">
      <alignment horizontal="center" vertical="center"/>
      <protection locked="0"/>
    </xf>
    <xf numFmtId="0" fontId="21" fillId="3" borderId="28" xfId="1" applyFont="1" applyBorder="1" applyAlignment="1" applyProtection="1">
      <alignment horizontal="center" vertical="center"/>
      <protection locked="0"/>
    </xf>
    <xf numFmtId="0" fontId="21" fillId="3" borderId="24" xfId="1" applyFont="1" applyBorder="1" applyAlignment="1" applyProtection="1">
      <alignment horizontal="center" vertical="center"/>
      <protection locked="0"/>
    </xf>
    <xf numFmtId="0" fontId="21" fillId="7" borderId="51" xfId="5" applyFont="1" applyBorder="1" applyProtection="1">
      <alignment horizontal="center" vertical="center"/>
      <protection locked="0"/>
    </xf>
    <xf numFmtId="0" fontId="21" fillId="6" borderId="34" xfId="4" applyFont="1" applyBorder="1" applyProtection="1">
      <alignment horizontal="center" vertical="center"/>
      <protection locked="0"/>
    </xf>
    <xf numFmtId="0" fontId="37" fillId="12" borderId="20" xfId="10" applyFont="1" applyBorder="1">
      <alignment horizontal="center" vertical="center" wrapText="1"/>
    </xf>
    <xf numFmtId="0" fontId="37" fillId="12" borderId="21" xfId="10" applyFont="1" applyBorder="1">
      <alignment horizontal="center" vertical="center" wrapText="1"/>
    </xf>
    <xf numFmtId="0" fontId="37" fillId="12" borderId="22" xfId="10" applyFont="1" applyBorder="1">
      <alignment horizontal="center" vertical="center" wrapText="1"/>
    </xf>
    <xf numFmtId="0" fontId="21" fillId="13" borderId="12" xfId="11" applyBorder="1" applyAlignment="1">
      <alignment horizontal="center"/>
    </xf>
    <xf numFmtId="0" fontId="21" fillId="13" borderId="1" xfId="11" applyBorder="1" applyAlignment="1">
      <alignment horizontal="center"/>
    </xf>
    <xf numFmtId="0" fontId="21" fillId="13" borderId="11" xfId="11" applyBorder="1" applyAlignment="1">
      <alignment horizontal="center"/>
    </xf>
    <xf numFmtId="0" fontId="21" fillId="13" borderId="4" xfId="11" applyBorder="1" applyAlignment="1">
      <alignment horizontal="center"/>
    </xf>
    <xf numFmtId="0" fontId="21" fillId="13" borderId="15" xfId="11" applyBorder="1" applyAlignment="1">
      <alignment horizontal="center"/>
    </xf>
    <xf numFmtId="0" fontId="21" fillId="13" borderId="18" xfId="11" applyBorder="1" applyAlignment="1">
      <alignment horizontal="center"/>
    </xf>
    <xf numFmtId="0" fontId="21" fillId="13" borderId="16" xfId="11" applyBorder="1" applyAlignment="1">
      <alignment horizontal="center"/>
    </xf>
    <xf numFmtId="0" fontId="21" fillId="13" borderId="49" xfId="11" applyBorder="1" applyAlignment="1">
      <alignment horizontal="center"/>
    </xf>
    <xf numFmtId="0" fontId="21" fillId="13" borderId="8" xfId="11" applyBorder="1" applyAlignment="1">
      <alignment horizontal="center" vertical="center"/>
    </xf>
    <xf numFmtId="0" fontId="21" fillId="13" borderId="9" xfId="11" applyBorder="1" applyAlignment="1">
      <alignment horizontal="center" vertical="center"/>
    </xf>
    <xf numFmtId="0" fontId="21" fillId="13" borderId="19" xfId="11" applyBorder="1" applyAlignment="1">
      <alignment horizontal="center" vertical="center"/>
    </xf>
    <xf numFmtId="0" fontId="21" fillId="13" borderId="26" xfId="11" applyBorder="1" applyAlignment="1">
      <alignment horizontal="center" vertical="center"/>
    </xf>
    <xf numFmtId="0" fontId="21" fillId="13" borderId="27" xfId="11" applyBorder="1" applyAlignment="1">
      <alignment horizontal="center" vertical="center"/>
    </xf>
    <xf numFmtId="0" fontId="21" fillId="13" borderId="51" xfId="11" applyBorder="1" applyAlignment="1">
      <alignment horizontal="center" vertical="center"/>
    </xf>
    <xf numFmtId="0" fontId="21" fillId="13" borderId="48" xfId="11" applyBorder="1" applyAlignment="1">
      <alignment horizontal="center" vertical="center"/>
    </xf>
    <xf numFmtId="0" fontId="21" fillId="13" borderId="48" xfId="11" applyBorder="1" applyAlignment="1">
      <alignment horizontal="left" vertical="center" wrapText="1"/>
    </xf>
    <xf numFmtId="0" fontId="21" fillId="13" borderId="36" xfId="11" applyBorder="1" applyAlignment="1">
      <alignment horizontal="center" vertical="center" wrapText="1"/>
    </xf>
    <xf numFmtId="0" fontId="21" fillId="13" borderId="25" xfId="11" applyBorder="1" applyAlignment="1">
      <alignment horizontal="center" vertical="center"/>
    </xf>
    <xf numFmtId="0" fontId="21" fillId="13" borderId="55" xfId="11" applyBorder="1" applyAlignment="1">
      <alignment horizontal="center" vertical="center"/>
    </xf>
    <xf numFmtId="0" fontId="21" fillId="13" borderId="56" xfId="11" applyBorder="1" applyAlignment="1">
      <alignment horizontal="center" vertical="center"/>
    </xf>
    <xf numFmtId="0" fontId="21" fillId="13" borderId="57" xfId="11" applyBorder="1" applyAlignment="1">
      <alignment horizontal="center" vertical="center"/>
    </xf>
    <xf numFmtId="0" fontId="21" fillId="13" borderId="37" xfId="11" applyBorder="1" applyAlignment="1">
      <alignment horizontal="center"/>
    </xf>
    <xf numFmtId="0" fontId="21" fillId="13" borderId="38" xfId="11" applyBorder="1" applyAlignment="1">
      <alignment horizontal="center"/>
    </xf>
    <xf numFmtId="0" fontId="17" fillId="0" borderId="31" xfId="0" applyFont="1" applyBorder="1" applyAlignment="1">
      <alignment horizontal="center" vertical="center" textRotation="90" wrapText="1"/>
    </xf>
    <xf numFmtId="0" fontId="17" fillId="0" borderId="10" xfId="0" applyFont="1" applyBorder="1" applyAlignment="1">
      <alignment horizontal="center" vertical="center" textRotation="90" wrapText="1"/>
    </xf>
    <xf numFmtId="0" fontId="17" fillId="0" borderId="30" xfId="0" applyFont="1" applyBorder="1" applyAlignment="1">
      <alignment horizontal="center" vertical="center" textRotation="90" wrapText="1"/>
    </xf>
    <xf numFmtId="0" fontId="17" fillId="0" borderId="3" xfId="0" applyFont="1" applyBorder="1" applyAlignment="1">
      <alignment horizontal="center" vertical="center" textRotation="90" wrapText="1"/>
    </xf>
    <xf numFmtId="0" fontId="21" fillId="8" borderId="18" xfId="6" applyBorder="1" applyAlignment="1">
      <alignment horizontal="center" vertical="center"/>
    </xf>
    <xf numFmtId="0" fontId="44" fillId="0" borderId="0" xfId="0" applyFont="1" applyProtection="1">
      <protection locked="0"/>
    </xf>
    <xf numFmtId="0" fontId="21" fillId="8" borderId="4" xfId="6" applyBorder="1" applyAlignment="1">
      <alignment horizontal="center" vertical="center"/>
    </xf>
    <xf numFmtId="0" fontId="45" fillId="0" borderId="0" xfId="0" applyFont="1" applyProtection="1">
      <protection locked="0"/>
    </xf>
    <xf numFmtId="0" fontId="46" fillId="0" borderId="0" xfId="0" applyFont="1" applyProtection="1">
      <protection locked="0"/>
    </xf>
    <xf numFmtId="164" fontId="21" fillId="8" borderId="1" xfId="6" applyNumberFormat="1" applyAlignment="1">
      <alignment horizontal="center"/>
    </xf>
    <xf numFmtId="0" fontId="27" fillId="6" borderId="4" xfId="4" applyFont="1" applyBorder="1">
      <alignment horizontal="center" vertical="center"/>
    </xf>
    <xf numFmtId="9" fontId="47" fillId="0" borderId="0" xfId="12" applyFont="1" applyAlignment="1" applyProtection="1">
      <alignment horizontal="center" vertical="center" wrapText="1"/>
      <protection locked="0"/>
    </xf>
    <xf numFmtId="0" fontId="21" fillId="8" borderId="11" xfId="6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9" fillId="4" borderId="4" xfId="2" applyFont="1" applyBorder="1" applyAlignment="1" applyProtection="1">
      <alignment horizontal="right" vertical="center" wrapText="1"/>
    </xf>
    <xf numFmtId="0" fontId="19" fillId="4" borderId="5" xfId="2" applyFont="1" applyBorder="1" applyAlignment="1" applyProtection="1">
      <alignment horizontal="right" vertical="center" wrapText="1"/>
    </xf>
    <xf numFmtId="0" fontId="32" fillId="0" borderId="0" xfId="0" applyFont="1" applyProtection="1"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1" fillId="0" borderId="32" xfId="0" applyFont="1" applyBorder="1" applyAlignment="1">
      <alignment horizontal="center" vertical="center"/>
    </xf>
    <xf numFmtId="0" fontId="12" fillId="0" borderId="1" xfId="0" applyFont="1" applyBorder="1" applyAlignment="1">
      <alignment vertical="center" textRotation="90" wrapText="1"/>
    </xf>
    <xf numFmtId="0" fontId="21" fillId="0" borderId="8" xfId="0" applyFont="1" applyBorder="1" applyAlignment="1">
      <alignment horizontal="center" vertical="center"/>
    </xf>
    <xf numFmtId="9" fontId="49" fillId="0" borderId="1" xfId="12" applyFont="1" applyBorder="1" applyAlignment="1" applyProtection="1">
      <alignment horizontal="center" vertical="center" wrapText="1"/>
      <protection locked="0"/>
    </xf>
    <xf numFmtId="0" fontId="21" fillId="0" borderId="61" xfId="0" applyFont="1" applyBorder="1" applyAlignment="1">
      <alignment horizontal="center" vertical="center"/>
    </xf>
    <xf numFmtId="0" fontId="21" fillId="8" borderId="49" xfId="6" applyBorder="1" applyAlignment="1">
      <alignment horizontal="center" vertical="center"/>
    </xf>
    <xf numFmtId="9" fontId="47" fillId="0" borderId="1" xfId="12" applyFont="1" applyBorder="1" applyAlignment="1" applyProtection="1">
      <alignment horizontal="center" vertical="center" wrapText="1"/>
      <protection locked="0"/>
    </xf>
    <xf numFmtId="9" fontId="48" fillId="0" borderId="1" xfId="12" applyFont="1" applyBorder="1" applyAlignment="1" applyProtection="1">
      <alignment horizontal="center" vertical="center" wrapText="1"/>
      <protection locked="0"/>
    </xf>
    <xf numFmtId="0" fontId="19" fillId="4" borderId="45" xfId="2" applyFont="1" applyBorder="1" applyAlignment="1" applyProtection="1">
      <alignment horizontal="right" vertical="center" wrapText="1"/>
    </xf>
    <xf numFmtId="0" fontId="21" fillId="8" borderId="25" xfId="6" applyBorder="1" applyAlignment="1">
      <alignment horizontal="center" vertical="center"/>
    </xf>
    <xf numFmtId="0" fontId="21" fillId="8" borderId="55" xfId="6" applyBorder="1" applyAlignment="1">
      <alignment horizontal="center" vertical="center"/>
    </xf>
    <xf numFmtId="0" fontId="21" fillId="8" borderId="56" xfId="6" applyBorder="1" applyAlignment="1">
      <alignment horizontal="center" vertical="center"/>
    </xf>
    <xf numFmtId="0" fontId="21" fillId="8" borderId="6" xfId="6" applyBorder="1" applyAlignment="1">
      <alignment horizontal="center" vertical="center"/>
    </xf>
    <xf numFmtId="0" fontId="21" fillId="8" borderId="17" xfId="6" applyBorder="1" applyAlignment="1">
      <alignment horizontal="center" vertical="center"/>
    </xf>
    <xf numFmtId="0" fontId="21" fillId="8" borderId="1" xfId="6" applyAlignment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  <protection locked="0"/>
    </xf>
    <xf numFmtId="0" fontId="21" fillId="0" borderId="11" xfId="0" applyFont="1" applyBorder="1" applyAlignment="1" applyProtection="1">
      <alignment horizontal="center" vertical="center" wrapText="1"/>
      <protection locked="0"/>
    </xf>
    <xf numFmtId="0" fontId="21" fillId="8" borderId="12" xfId="6" applyBorder="1" applyAlignment="1">
      <alignment horizontal="center" vertical="center" wrapText="1"/>
    </xf>
    <xf numFmtId="0" fontId="21" fillId="8" borderId="11" xfId="6" applyBorder="1" applyAlignment="1">
      <alignment horizontal="center" vertical="center" wrapText="1"/>
    </xf>
    <xf numFmtId="0" fontId="21" fillId="8" borderId="15" xfId="6" applyBorder="1" applyAlignment="1">
      <alignment horizontal="center" vertical="center" wrapText="1"/>
    </xf>
    <xf numFmtId="0" fontId="21" fillId="8" borderId="18" xfId="6" applyBorder="1" applyAlignment="1">
      <alignment horizontal="center" vertical="center" wrapText="1"/>
    </xf>
    <xf numFmtId="0" fontId="21" fillId="8" borderId="16" xfId="6" applyBorder="1" applyAlignment="1">
      <alignment horizontal="center" vertical="center" wrapText="1"/>
    </xf>
    <xf numFmtId="0" fontId="21" fillId="0" borderId="32" xfId="0" applyFont="1" applyBorder="1" applyAlignment="1" applyProtection="1">
      <alignment horizontal="center" vertical="center" wrapText="1"/>
      <protection locked="0"/>
    </xf>
    <xf numFmtId="0" fontId="21" fillId="0" borderId="9" xfId="0" applyFont="1" applyBorder="1" applyAlignment="1" applyProtection="1">
      <alignment horizontal="center" vertical="center" wrapText="1"/>
      <protection locked="0"/>
    </xf>
    <xf numFmtId="0" fontId="21" fillId="0" borderId="19" xfId="0" applyFont="1" applyBorder="1" applyAlignment="1" applyProtection="1">
      <alignment horizontal="center" vertical="center" wrapText="1"/>
      <protection locked="0"/>
    </xf>
    <xf numFmtId="0" fontId="21" fillId="0" borderId="39" xfId="0" applyFont="1" applyBorder="1" applyAlignment="1" applyProtection="1">
      <alignment horizontal="center" vertical="center" wrapText="1"/>
      <protection locked="0"/>
    </xf>
    <xf numFmtId="0" fontId="21" fillId="0" borderId="14" xfId="0" applyFont="1" applyBorder="1" applyAlignment="1" applyProtection="1">
      <alignment horizontal="center" vertical="center" wrapText="1"/>
      <protection locked="0"/>
    </xf>
    <xf numFmtId="0" fontId="21" fillId="0" borderId="13" xfId="0" applyFont="1" applyBorder="1" applyAlignment="1" applyProtection="1">
      <alignment horizontal="center" vertical="center" wrapText="1"/>
      <protection locked="0"/>
    </xf>
    <xf numFmtId="0" fontId="0" fillId="0" borderId="1" xfId="0" applyBorder="1"/>
    <xf numFmtId="0" fontId="0" fillId="0" borderId="65" xfId="0" applyBorder="1" applyAlignment="1">
      <alignment vertical="center" wrapText="1"/>
    </xf>
    <xf numFmtId="0" fontId="0" fillId="0" borderId="67" xfId="0" applyBorder="1" applyAlignment="1">
      <alignment vertical="center" wrapText="1"/>
    </xf>
    <xf numFmtId="0" fontId="0" fillId="0" borderId="69" xfId="0" applyBorder="1"/>
    <xf numFmtId="0" fontId="0" fillId="0" borderId="0" xfId="0" applyAlignment="1">
      <alignment vertical="center"/>
    </xf>
    <xf numFmtId="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20" borderId="1" xfId="0" applyFill="1" applyBorder="1" applyAlignment="1">
      <alignment vertical="center"/>
    </xf>
    <xf numFmtId="0" fontId="52" fillId="14" borderId="1" xfId="0" applyFont="1" applyFill="1" applyBorder="1" applyAlignment="1">
      <alignment horizontal="center" vertical="center"/>
    </xf>
    <xf numFmtId="0" fontId="52" fillId="20" borderId="1" xfId="0" applyFont="1" applyFill="1" applyBorder="1" applyAlignment="1">
      <alignment horizontal="center" vertical="center"/>
    </xf>
    <xf numFmtId="0" fontId="52" fillId="19" borderId="1" xfId="0" applyFont="1" applyFill="1" applyBorder="1" applyAlignment="1">
      <alignment horizontal="center" vertical="center"/>
    </xf>
    <xf numFmtId="10" fontId="49" fillId="0" borderId="1" xfId="12" applyNumberFormat="1" applyFont="1" applyBorder="1" applyAlignment="1" applyProtection="1">
      <alignment horizontal="center" vertical="center" wrapText="1"/>
      <protection locked="0"/>
    </xf>
    <xf numFmtId="0" fontId="21" fillId="13" borderId="1" xfId="11" applyBorder="1" applyAlignment="1">
      <alignment horizontal="center" vertical="center"/>
    </xf>
    <xf numFmtId="9" fontId="21" fillId="0" borderId="1" xfId="12" applyFont="1" applyBorder="1" applyAlignment="1">
      <alignment horizontal="center" vertical="center"/>
    </xf>
    <xf numFmtId="9" fontId="21" fillId="13" borderId="1" xfId="12" applyFont="1" applyFill="1" applyBorder="1" applyAlignment="1">
      <alignment horizontal="center" vertical="center"/>
    </xf>
    <xf numFmtId="0" fontId="21" fillId="0" borderId="0" xfId="0" applyFont="1" applyProtection="1">
      <protection locked="0"/>
    </xf>
    <xf numFmtId="0" fontId="37" fillId="12" borderId="28" xfId="10" applyFont="1" applyBorder="1">
      <alignment horizontal="center" vertical="center" wrapText="1"/>
    </xf>
    <xf numFmtId="0" fontId="37" fillId="12" borderId="27" xfId="10" applyFont="1" applyBorder="1">
      <alignment horizontal="center" vertical="center" wrapText="1"/>
    </xf>
    <xf numFmtId="0" fontId="37" fillId="12" borderId="24" xfId="10" applyFont="1" applyBorder="1">
      <alignment horizontal="center" vertical="center" wrapText="1"/>
    </xf>
    <xf numFmtId="0" fontId="37" fillId="12" borderId="33" xfId="10" applyFont="1" applyBorder="1">
      <alignment horizontal="center" vertical="center" wrapText="1"/>
    </xf>
    <xf numFmtId="0" fontId="37" fillId="12" borderId="34" xfId="10" applyFont="1" applyBorder="1">
      <alignment horizontal="center" vertical="center" wrapText="1"/>
    </xf>
    <xf numFmtId="0" fontId="37" fillId="12" borderId="26" xfId="10" applyFont="1" applyBorder="1">
      <alignment horizontal="center" vertical="center" wrapText="1"/>
    </xf>
    <xf numFmtId="0" fontId="37" fillId="12" borderId="51" xfId="10" applyFont="1" applyBorder="1">
      <alignment horizontal="center" vertical="center" wrapText="1"/>
    </xf>
    <xf numFmtId="0" fontId="12" fillId="0" borderId="1" xfId="0" applyFont="1" applyBorder="1" applyAlignment="1">
      <alignment horizontal="center" vertical="center" textRotation="90" wrapText="1"/>
    </xf>
    <xf numFmtId="9" fontId="0" fillId="0" borderId="1" xfId="12" applyFont="1" applyBorder="1" applyAlignment="1">
      <alignment vertical="center"/>
    </xf>
    <xf numFmtId="0" fontId="59" fillId="0" borderId="0" xfId="0" applyFont="1"/>
    <xf numFmtId="0" fontId="21" fillId="0" borderId="1" xfId="0" applyFont="1" applyBorder="1" applyAlignment="1" applyProtection="1">
      <alignment horizontal="center" vertical="center" wrapText="1"/>
      <protection locked="0"/>
    </xf>
    <xf numFmtId="0" fontId="27" fillId="7" borderId="1" xfId="5" applyFont="1" applyAlignment="1">
      <alignment horizontal="center" vertical="center" wrapText="1"/>
    </xf>
    <xf numFmtId="0" fontId="27" fillId="6" borderId="1" xfId="4" applyFont="1" applyAlignment="1">
      <alignment horizontal="center" vertical="center" wrapText="1"/>
    </xf>
    <xf numFmtId="0" fontId="42" fillId="0" borderId="4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12" fillId="0" borderId="55" xfId="0" applyFont="1" applyBorder="1" applyAlignment="1">
      <alignment horizontal="center" vertical="center" textRotation="90" wrapText="1"/>
    </xf>
    <xf numFmtId="0" fontId="12" fillId="0" borderId="27" xfId="0" applyFont="1" applyBorder="1" applyAlignment="1">
      <alignment horizontal="center" vertical="center" textRotation="90" wrapText="1"/>
    </xf>
    <xf numFmtId="0" fontId="12" fillId="11" borderId="25" xfId="0" applyFont="1" applyFill="1" applyBorder="1" applyAlignment="1">
      <alignment horizontal="center" vertical="center" textRotation="90" wrapText="1"/>
    </xf>
    <xf numFmtId="0" fontId="12" fillId="11" borderId="28" xfId="0" applyFont="1" applyFill="1" applyBorder="1" applyAlignment="1">
      <alignment horizontal="center" vertical="center" textRotation="90" wrapText="1"/>
    </xf>
    <xf numFmtId="49" fontId="19" fillId="5" borderId="62" xfId="3" applyNumberFormat="1" applyFont="1" applyBorder="1" applyAlignment="1" applyProtection="1">
      <alignment horizontal="center" vertical="center" wrapText="1"/>
    </xf>
    <xf numFmtId="49" fontId="19" fillId="5" borderId="64" xfId="3" applyNumberFormat="1" applyFont="1" applyBorder="1" applyAlignment="1" applyProtection="1">
      <alignment horizontal="center" vertical="center" wrapText="1"/>
    </xf>
    <xf numFmtId="49" fontId="19" fillId="5" borderId="17" xfId="3" applyNumberFormat="1" applyFont="1" applyBorder="1" applyAlignment="1" applyProtection="1">
      <alignment horizontal="center" vertical="center" wrapText="1"/>
    </xf>
    <xf numFmtId="49" fontId="23" fillId="0" borderId="1" xfId="0" applyNumberFormat="1" applyFont="1" applyBorder="1" applyAlignment="1" applyProtection="1">
      <alignment horizontal="center" vertical="center" textRotation="255" wrapText="1"/>
      <protection locked="0"/>
    </xf>
    <xf numFmtId="49" fontId="50" fillId="0" borderId="1" xfId="0" applyNumberFormat="1" applyFont="1" applyBorder="1" applyAlignment="1" applyProtection="1">
      <alignment horizontal="center" vertical="center" wrapText="1"/>
      <protection locked="0"/>
    </xf>
    <xf numFmtId="164" fontId="21" fillId="8" borderId="4" xfId="6" applyNumberFormat="1" applyBorder="1" applyAlignment="1">
      <alignment horizontal="left" wrapText="1"/>
    </xf>
    <xf numFmtId="164" fontId="21" fillId="8" borderId="6" xfId="6" applyNumberFormat="1" applyBorder="1" applyAlignment="1">
      <alignment horizontal="left" wrapText="1"/>
    </xf>
    <xf numFmtId="164" fontId="23" fillId="0" borderId="4" xfId="0" applyNumberFormat="1" applyFont="1" applyBorder="1" applyAlignment="1">
      <alignment horizontal="left" wrapText="1"/>
    </xf>
    <xf numFmtId="164" fontId="23" fillId="0" borderId="6" xfId="0" applyNumberFormat="1" applyFont="1" applyBorder="1" applyAlignment="1">
      <alignment horizontal="left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45" xfId="0" applyFont="1" applyBorder="1" applyAlignment="1">
      <alignment horizontal="center" vertical="center" wrapText="1"/>
    </xf>
    <xf numFmtId="164" fontId="21" fillId="8" borderId="4" xfId="6" applyNumberFormat="1" applyBorder="1" applyAlignment="1">
      <alignment horizontal="center" wrapText="1"/>
    </xf>
    <xf numFmtId="164" fontId="21" fillId="8" borderId="6" xfId="6" applyNumberFormat="1" applyBorder="1" applyAlignment="1">
      <alignment horizontal="center" wrapText="1"/>
    </xf>
    <xf numFmtId="0" fontId="19" fillId="4" borderId="53" xfId="2" applyFont="1" applyBorder="1" applyAlignment="1" applyProtection="1">
      <alignment horizontal="center" vertical="center" wrapText="1"/>
    </xf>
    <xf numFmtId="0" fontId="19" fillId="4" borderId="54" xfId="2" applyFont="1" applyBorder="1" applyAlignment="1" applyProtection="1">
      <alignment horizontal="center" vertical="center" wrapText="1"/>
    </xf>
    <xf numFmtId="0" fontId="19" fillId="4" borderId="63" xfId="2" applyFont="1" applyBorder="1" applyAlignment="1" applyProtection="1">
      <alignment horizontal="center" vertical="center" wrapText="1"/>
    </xf>
    <xf numFmtId="0" fontId="8" fillId="0" borderId="34" xfId="0" applyFont="1" applyBorder="1" applyAlignment="1" applyProtection="1">
      <alignment horizontal="center" vertical="center"/>
      <protection locked="0"/>
    </xf>
    <xf numFmtId="0" fontId="34" fillId="0" borderId="0" xfId="0" applyFont="1" applyAlignment="1">
      <alignment horizontal="center" vertical="center" wrapText="1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5" xfId="0" applyFont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1" fillId="0" borderId="4" xfId="0" applyFont="1" applyBorder="1" applyAlignment="1">
      <alignment horizontal="right" vertical="center"/>
    </xf>
    <xf numFmtId="0" fontId="31" fillId="0" borderId="5" xfId="0" applyFont="1" applyBorder="1" applyAlignment="1">
      <alignment horizontal="right" vertical="center"/>
    </xf>
    <xf numFmtId="0" fontId="31" fillId="0" borderId="6" xfId="0" applyFont="1" applyBorder="1" applyAlignment="1">
      <alignment horizontal="right" vertical="center"/>
    </xf>
    <xf numFmtId="20" fontId="32" fillId="0" borderId="4" xfId="0" applyNumberFormat="1" applyFont="1" applyBorder="1" applyAlignment="1" applyProtection="1">
      <alignment horizontal="center"/>
      <protection locked="0"/>
    </xf>
    <xf numFmtId="20" fontId="32" fillId="0" borderId="5" xfId="0" applyNumberFormat="1" applyFont="1" applyBorder="1" applyAlignment="1" applyProtection="1">
      <alignment horizontal="center"/>
      <protection locked="0"/>
    </xf>
    <xf numFmtId="20" fontId="32" fillId="0" borderId="6" xfId="0" applyNumberFormat="1" applyFont="1" applyBorder="1" applyAlignment="1" applyProtection="1">
      <alignment horizontal="center"/>
      <protection locked="0"/>
    </xf>
    <xf numFmtId="0" fontId="53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>
      <alignment horizontal="center" vertical="center"/>
    </xf>
    <xf numFmtId="0" fontId="31" fillId="0" borderId="1" xfId="0" applyFont="1" applyBorder="1" applyAlignment="1">
      <alignment horizontal="right" vertical="center"/>
    </xf>
    <xf numFmtId="0" fontId="57" fillId="0" borderId="1" xfId="0" applyFont="1" applyBorder="1" applyAlignment="1" applyProtection="1">
      <alignment horizontal="center"/>
      <protection locked="0"/>
    </xf>
    <xf numFmtId="0" fontId="21" fillId="6" borderId="53" xfId="4" applyFont="1" applyBorder="1">
      <alignment horizontal="center" vertical="center"/>
    </xf>
    <xf numFmtId="0" fontId="21" fillId="6" borderId="63" xfId="4" applyFont="1" applyBorder="1">
      <alignment horizontal="center" vertical="center"/>
    </xf>
    <xf numFmtId="0" fontId="21" fillId="0" borderId="29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8" borderId="29" xfId="6" applyBorder="1" applyAlignment="1">
      <alignment horizontal="center"/>
    </xf>
    <xf numFmtId="0" fontId="21" fillId="8" borderId="45" xfId="6" applyBorder="1" applyAlignment="1">
      <alignment horizontal="center"/>
    </xf>
    <xf numFmtId="0" fontId="21" fillId="0" borderId="62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21" fillId="0" borderId="1" xfId="0" applyFont="1" applyBorder="1" applyAlignment="1" applyProtection="1">
      <alignment horizontal="center" vertical="center" textRotation="90" wrapText="1"/>
      <protection locked="0"/>
    </xf>
    <xf numFmtId="0" fontId="27" fillId="8" borderId="4" xfId="6" applyFont="1" applyBorder="1" applyAlignment="1">
      <alignment horizontal="center" vertical="center" wrapText="1"/>
    </xf>
    <xf numFmtId="0" fontId="27" fillId="8" borderId="5" xfId="6" applyFont="1" applyBorder="1" applyAlignment="1">
      <alignment horizontal="center" vertical="center" wrapText="1"/>
    </xf>
    <xf numFmtId="0" fontId="27" fillId="8" borderId="6" xfId="6" applyFont="1" applyBorder="1" applyAlignment="1">
      <alignment horizontal="center" vertical="center" wrapText="1"/>
    </xf>
    <xf numFmtId="0" fontId="27" fillId="7" borderId="4" xfId="5" applyFont="1" applyBorder="1" applyAlignment="1">
      <alignment horizontal="center" vertical="center" wrapText="1"/>
    </xf>
    <xf numFmtId="0" fontId="27" fillId="7" borderId="5" xfId="5" applyFont="1" applyBorder="1" applyAlignment="1">
      <alignment horizontal="center" vertical="center" wrapText="1"/>
    </xf>
    <xf numFmtId="0" fontId="27" fillId="7" borderId="6" xfId="5" applyFont="1" applyBorder="1" applyAlignment="1">
      <alignment horizontal="center" vertical="center" wrapText="1"/>
    </xf>
    <xf numFmtId="0" fontId="27" fillId="6" borderId="4" xfId="4" applyFont="1" applyBorder="1" applyAlignment="1">
      <alignment horizontal="center" vertical="center" wrapText="1"/>
    </xf>
    <xf numFmtId="0" fontId="27" fillId="6" borderId="5" xfId="4" applyFont="1" applyBorder="1" applyAlignment="1">
      <alignment horizontal="center" vertical="center" wrapText="1"/>
    </xf>
    <xf numFmtId="0" fontId="27" fillId="6" borderId="6" xfId="4" applyFont="1" applyBorder="1" applyAlignment="1">
      <alignment horizontal="center" vertical="center" wrapText="1"/>
    </xf>
    <xf numFmtId="0" fontId="27" fillId="8" borderId="1" xfId="6" applyFont="1" applyAlignment="1">
      <alignment horizontal="center" vertical="center" wrapText="1"/>
    </xf>
    <xf numFmtId="0" fontId="21" fillId="0" borderId="4" xfId="0" applyFont="1" applyBorder="1" applyAlignment="1" applyProtection="1">
      <alignment horizontal="center" vertical="center" wrapText="1"/>
      <protection locked="0"/>
    </xf>
    <xf numFmtId="0" fontId="36" fillId="12" borderId="43" xfId="10" applyFont="1" applyBorder="1">
      <alignment horizontal="center" vertical="center" wrapText="1"/>
    </xf>
    <xf numFmtId="0" fontId="36" fillId="12" borderId="44" xfId="10" applyFont="1" applyBorder="1">
      <alignment horizontal="center" vertical="center" wrapText="1"/>
    </xf>
    <xf numFmtId="0" fontId="36" fillId="12" borderId="34" xfId="10" applyFont="1" applyBorder="1">
      <alignment horizontal="center" vertical="center" wrapText="1"/>
    </xf>
    <xf numFmtId="0" fontId="49" fillId="0" borderId="1" xfId="0" applyFont="1" applyBorder="1" applyAlignment="1" applyProtection="1">
      <alignment horizontal="center" vertical="center" wrapText="1"/>
      <protection locked="0"/>
    </xf>
    <xf numFmtId="0" fontId="49" fillId="0" borderId="4" xfId="0" applyFont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 applyProtection="1">
      <alignment horizontal="center" vertical="center" textRotation="255" wrapText="1"/>
      <protection locked="0"/>
    </xf>
    <xf numFmtId="0" fontId="49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 textRotation="90" wrapText="1"/>
    </xf>
    <xf numFmtId="0" fontId="12" fillId="0" borderId="40" xfId="0" applyFont="1" applyBorder="1" applyAlignment="1">
      <alignment horizontal="center" vertical="center" textRotation="90" wrapText="1"/>
    </xf>
    <xf numFmtId="0" fontId="12" fillId="0" borderId="41" xfId="0" applyFont="1" applyBorder="1" applyAlignment="1">
      <alignment horizontal="center" vertical="center" textRotation="90" wrapText="1"/>
    </xf>
    <xf numFmtId="49" fontId="35" fillId="9" borderId="58" xfId="7" applyNumberFormat="1" applyFont="1" applyBorder="1" applyAlignment="1" applyProtection="1">
      <alignment horizontal="center" vertical="center" wrapText="1"/>
    </xf>
    <xf numFmtId="49" fontId="35" fillId="9" borderId="59" xfId="7" applyNumberFormat="1" applyFont="1" applyBorder="1" applyAlignment="1" applyProtection="1">
      <alignment horizontal="center" vertical="center" wrapText="1"/>
    </xf>
    <xf numFmtId="49" fontId="35" fillId="9" borderId="60" xfId="7" applyNumberFormat="1" applyFont="1" applyBorder="1" applyAlignment="1" applyProtection="1">
      <alignment horizontal="center" vertical="center" wrapText="1"/>
    </xf>
    <xf numFmtId="0" fontId="21" fillId="13" borderId="12" xfId="11" applyBorder="1" applyAlignment="1">
      <alignment horizontal="center"/>
    </xf>
    <xf numFmtId="0" fontId="21" fillId="13" borderId="4" xfId="11" applyBorder="1" applyAlignment="1">
      <alignment horizontal="center"/>
    </xf>
    <xf numFmtId="0" fontId="8" fillId="0" borderId="0" xfId="0" applyFont="1" applyAlignment="1" applyProtection="1">
      <alignment horizontal="center" vertical="center"/>
      <protection locked="0"/>
    </xf>
    <xf numFmtId="0" fontId="36" fillId="12" borderId="0" xfId="10" applyFont="1" applyBorder="1">
      <alignment horizontal="center" vertical="center" wrapText="1"/>
    </xf>
    <xf numFmtId="0" fontId="36" fillId="12" borderId="42" xfId="10" applyFont="1" applyBorder="1">
      <alignment horizontal="center" vertical="center" wrapText="1"/>
    </xf>
    <xf numFmtId="0" fontId="36" fillId="12" borderId="33" xfId="10" applyFont="1" applyBorder="1">
      <alignment horizontal="center" vertical="center" wrapText="1"/>
    </xf>
    <xf numFmtId="0" fontId="36" fillId="12" borderId="35" xfId="10" applyFont="1" applyBorder="1">
      <alignment horizontal="center" vertical="center" wrapText="1"/>
    </xf>
    <xf numFmtId="0" fontId="21" fillId="0" borderId="1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37" fillId="12" borderId="13" xfId="10" applyFont="1" applyBorder="1">
      <alignment horizontal="center" vertical="center" wrapText="1"/>
    </xf>
    <xf numFmtId="0" fontId="37" fillId="12" borderId="14" xfId="10" applyFont="1" applyBorder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0" fontId="32" fillId="0" borderId="1" xfId="0" applyFont="1" applyBorder="1" applyAlignment="1" applyProtection="1">
      <alignment horizontal="center"/>
      <protection locked="0"/>
    </xf>
    <xf numFmtId="0" fontId="23" fillId="0" borderId="2" xfId="0" applyFont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0" fontId="23" fillId="0" borderId="7" xfId="0" applyFont="1" applyBorder="1" applyAlignment="1">
      <alignment horizontal="right" vertical="center"/>
    </xf>
    <xf numFmtId="0" fontId="23" fillId="0" borderId="8" xfId="0" applyFont="1" applyBorder="1" applyAlignment="1">
      <alignment horizontal="right" vertical="center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7" xfId="0" applyFont="1" applyBorder="1" applyAlignment="1" applyProtection="1">
      <alignment horizontal="center"/>
      <protection locked="0"/>
    </xf>
    <xf numFmtId="0" fontId="26" fillId="0" borderId="8" xfId="0" applyFont="1" applyBorder="1" applyAlignment="1" applyProtection="1">
      <alignment horizontal="center"/>
      <protection locked="0"/>
    </xf>
    <xf numFmtId="0" fontId="18" fillId="0" borderId="1" xfId="0" applyFont="1" applyBorder="1" applyAlignment="1">
      <alignment horizontal="center" vertical="center"/>
    </xf>
    <xf numFmtId="20" fontId="32" fillId="0" borderId="1" xfId="0" applyNumberFormat="1" applyFont="1" applyBorder="1" applyAlignment="1" applyProtection="1">
      <alignment horizontal="center"/>
      <protection locked="0"/>
    </xf>
    <xf numFmtId="0" fontId="49" fillId="0" borderId="4" xfId="0" applyFont="1" applyBorder="1" applyAlignment="1" applyProtection="1">
      <alignment horizontal="center" vertical="center"/>
      <protection locked="0"/>
    </xf>
    <xf numFmtId="0" fontId="49" fillId="0" borderId="5" xfId="0" applyFont="1" applyBorder="1" applyAlignment="1" applyProtection="1">
      <alignment horizontal="center" vertical="center"/>
      <protection locked="0"/>
    </xf>
    <xf numFmtId="0" fontId="49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>
      <alignment horizontal="center" vertical="center"/>
    </xf>
    <xf numFmtId="0" fontId="21" fillId="13" borderId="15" xfId="11" applyBorder="1" applyAlignment="1">
      <alignment horizontal="center"/>
    </xf>
    <xf numFmtId="0" fontId="21" fillId="13" borderId="49" xfId="1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19" borderId="6" xfId="0" applyFill="1" applyBorder="1" applyAlignment="1">
      <alignment horizontal="center"/>
    </xf>
    <xf numFmtId="9" fontId="0" fillId="14" borderId="4" xfId="0" applyNumberFormat="1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52" fillId="0" borderId="7" xfId="0" applyFont="1" applyBorder="1" applyAlignment="1">
      <alignment horizontal="center"/>
    </xf>
    <xf numFmtId="0" fontId="52" fillId="0" borderId="74" xfId="0" applyFont="1" applyBorder="1" applyAlignment="1">
      <alignment horizontal="center"/>
    </xf>
    <xf numFmtId="0" fontId="52" fillId="0" borderId="8" xfId="0" applyFont="1" applyBorder="1" applyAlignment="1">
      <alignment horizontal="center"/>
    </xf>
    <xf numFmtId="0" fontId="52" fillId="0" borderId="1" xfId="0" applyFont="1" applyBorder="1" applyAlignment="1">
      <alignment horizontal="center" vertical="center"/>
    </xf>
    <xf numFmtId="0" fontId="52" fillId="17" borderId="1" xfId="0" applyFont="1" applyFill="1" applyBorder="1" applyAlignment="1">
      <alignment horizontal="center" vertical="center"/>
    </xf>
    <xf numFmtId="0" fontId="52" fillId="16" borderId="1" xfId="0" applyFont="1" applyFill="1" applyBorder="1" applyAlignment="1">
      <alignment horizontal="center" vertical="center"/>
    </xf>
    <xf numFmtId="0" fontId="52" fillId="15" borderId="1" xfId="0" applyFont="1" applyFill="1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7" xfId="0" applyBorder="1" applyAlignment="1">
      <alignment horizontal="center"/>
    </xf>
    <xf numFmtId="0" fontId="52" fillId="0" borderId="73" xfId="0" applyFont="1" applyBorder="1" applyAlignment="1">
      <alignment horizontal="center"/>
    </xf>
    <xf numFmtId="0" fontId="52" fillId="0" borderId="72" xfId="0" applyFont="1" applyBorder="1" applyAlignment="1">
      <alignment horizontal="center"/>
    </xf>
    <xf numFmtId="0" fontId="52" fillId="0" borderId="71" xfId="0" applyFont="1" applyBorder="1" applyAlignment="1">
      <alignment horizontal="center"/>
    </xf>
    <xf numFmtId="0" fontId="5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2" fillId="6" borderId="1" xfId="0" applyFont="1" applyFill="1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68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54" fillId="0" borderId="76" xfId="0" applyFont="1" applyBorder="1" applyAlignment="1">
      <alignment horizontal="center"/>
    </xf>
    <xf numFmtId="0" fontId="54" fillId="0" borderId="75" xfId="0" applyFont="1" applyBorder="1" applyAlignment="1">
      <alignment horizontal="center"/>
    </xf>
    <xf numFmtId="0" fontId="55" fillId="0" borderId="76" xfId="0" applyFont="1" applyBorder="1" applyAlignment="1">
      <alignment horizontal="center"/>
    </xf>
    <xf numFmtId="0" fontId="55" fillId="0" borderId="78" xfId="0" applyFont="1" applyBorder="1" applyAlignment="1">
      <alignment horizontal="center"/>
    </xf>
    <xf numFmtId="0" fontId="52" fillId="8" borderId="1" xfId="0" applyFont="1" applyFill="1" applyBorder="1" applyAlignment="1">
      <alignment horizontal="center" vertical="center"/>
    </xf>
    <xf numFmtId="0" fontId="52" fillId="18" borderId="1" xfId="0" applyFont="1" applyFill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0" fontId="54" fillId="0" borderId="3" xfId="0" applyFont="1" applyBorder="1" applyAlignment="1">
      <alignment horizontal="center" vertical="center"/>
    </xf>
    <xf numFmtId="0" fontId="54" fillId="0" borderId="7" xfId="0" applyFont="1" applyBorder="1" applyAlignment="1">
      <alignment horizontal="center" vertical="center"/>
    </xf>
    <xf numFmtId="0" fontId="54" fillId="0" borderId="8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58" fillId="6" borderId="1" xfId="0" applyFont="1" applyFill="1" applyBorder="1" applyAlignment="1">
      <alignment horizontal="center" vertical="center"/>
    </xf>
    <xf numFmtId="0" fontId="60" fillId="0" borderId="1" xfId="0" applyFont="1" applyBorder="1" applyAlignment="1">
      <alignment vertical="center"/>
    </xf>
    <xf numFmtId="0" fontId="52" fillId="0" borderId="1" xfId="0" applyFont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</cellXfs>
  <cellStyles count="13">
    <cellStyle name="40% - Énfasis6" xfId="3" builtinId="51"/>
    <cellStyle name="Bueno" xfId="1" builtinId="26"/>
    <cellStyle name="Énfasis6" xfId="2" builtinId="49"/>
    <cellStyle name="Estilo 1" xfId="4" xr:uid="{00000000-0005-0000-0000-000003000000}"/>
    <cellStyle name="Estilo 2" xfId="5" xr:uid="{00000000-0005-0000-0000-000004000000}"/>
    <cellStyle name="Estilo 3" xfId="6" xr:uid="{00000000-0005-0000-0000-000005000000}"/>
    <cellStyle name="Estilo 4" xfId="9" xr:uid="{00000000-0005-0000-0000-000006000000}"/>
    <cellStyle name="Estilo 5" xfId="10" xr:uid="{00000000-0005-0000-0000-000007000000}"/>
    <cellStyle name="Estilo 6" xfId="11" xr:uid="{00000000-0005-0000-0000-000008000000}"/>
    <cellStyle name="Incorrecto" xfId="7" builtinId="27"/>
    <cellStyle name="Neutral" xfId="8" builtinId="28"/>
    <cellStyle name="Normal" xfId="0" builtinId="0"/>
    <cellStyle name="Porcentaje" xfId="12" builtinId="5"/>
  </cellStyles>
  <dxfs count="63"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theme="1"/>
      </font>
    </dxf>
    <dxf>
      <font>
        <color rgb="FFFF0000"/>
      </font>
    </dxf>
    <dxf>
      <font>
        <color rgb="FF00B050"/>
      </font>
    </dxf>
    <dxf>
      <font>
        <condense val="0"/>
        <extend val="0"/>
        <color indexed="32"/>
      </font>
    </dxf>
    <dxf>
      <font>
        <b/>
        <i val="0"/>
        <condense val="0"/>
        <extend val="0"/>
      </font>
    </dxf>
    <dxf>
      <font>
        <condense val="0"/>
        <extend val="0"/>
        <color indexed="1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ndense val="0"/>
        <extend val="0"/>
        <color indexed="32"/>
      </font>
    </dxf>
    <dxf>
      <font>
        <b/>
        <i val="0"/>
        <condense val="0"/>
        <extend val="0"/>
      </font>
    </dxf>
    <dxf>
      <font>
        <condense val="0"/>
        <extend val="0"/>
        <color indexed="10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diagonalUp="0" diagonalDown="0">
        <left style="thick">
          <color indexed="64"/>
        </left>
      </border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ck">
          <color rgb="FF000000"/>
        </top>
      </border>
    </dxf>
    <dxf>
      <border outline="0">
        <left style="thin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protection locked="0" hidden="0"/>
    </dxf>
    <dxf>
      <border outline="0"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colors>
    <mruColors>
      <color rgb="FFFF1171"/>
      <color rgb="FFFFFF99"/>
      <color rgb="FFD78389"/>
      <color rgb="FFE6D6F2"/>
      <color rgb="FFDCC5ED"/>
      <color rgb="FFC39BE1"/>
      <color rgb="FF913779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6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6000" b="1"/>
              <a:t>Resumen</a:t>
            </a:r>
            <a:r>
              <a:rPr lang="en-US" sz="6000" b="1" baseline="0"/>
              <a:t> de respuestas del aula</a:t>
            </a:r>
            <a:endParaRPr lang="en-US" sz="6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'registro de lectura'!$B$72:$C$72</c:f>
              <c:strCache>
                <c:ptCount val="2"/>
                <c:pt idx="0">
                  <c:v>Adecuadas(✔️)</c:v>
                </c:pt>
              </c:strCache>
            </c:strRef>
          </c:tx>
          <c:spPr>
            <a:solidFill>
              <a:srgbClr val="00B050">
                <a:alpha val="98000"/>
              </a:srgbClr>
            </a:solidFill>
            <a:ln>
              <a:noFill/>
            </a:ln>
            <a:effectLst/>
          </c:spPr>
          <c:invertIfNegative val="0"/>
          <c:cat>
            <c:multiLvlStrRef>
              <c:f>'registro de lectura'!$D$70:$AB$74</c:f>
              <c:multiLvlStrCache>
                <c:ptCount val="25"/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3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2</c:v>
                  </c:pt>
                  <c:pt idx="21">
                    <c:v>1</c:v>
                  </c:pt>
                  <c:pt idx="22">
                    <c:v>1</c:v>
                  </c:pt>
                  <c:pt idx="23">
                    <c:v>2</c:v>
                  </c:pt>
                  <c:pt idx="24">
                    <c:v>1</c:v>
                  </c:pt>
                </c:lvl>
                <c:lvl>
                  <c:pt idx="0">
                    <c:v>24</c:v>
                  </c:pt>
                  <c:pt idx="1">
                    <c:v>13</c:v>
                  </c:pt>
                  <c:pt idx="2">
                    <c:v>4</c:v>
                  </c:pt>
                  <c:pt idx="3">
                    <c:v>23</c:v>
                  </c:pt>
                  <c:pt idx="4">
                    <c:v>14</c:v>
                  </c:pt>
                  <c:pt idx="5">
                    <c:v>6</c:v>
                  </c:pt>
                  <c:pt idx="6">
                    <c:v>5</c:v>
                  </c:pt>
                  <c:pt idx="7">
                    <c:v>4</c:v>
                  </c:pt>
                  <c:pt idx="8">
                    <c:v>7</c:v>
                  </c:pt>
                  <c:pt idx="9">
                    <c:v>7</c:v>
                  </c:pt>
                  <c:pt idx="10">
                    <c:v>16</c:v>
                  </c:pt>
                  <c:pt idx="11">
                    <c:v>9</c:v>
                  </c:pt>
                  <c:pt idx="12">
                    <c:v>14</c:v>
                  </c:pt>
                  <c:pt idx="13">
                    <c:v>8</c:v>
                  </c:pt>
                  <c:pt idx="14">
                    <c:v>7</c:v>
                  </c:pt>
                  <c:pt idx="15">
                    <c:v>21</c:v>
                  </c:pt>
                  <c:pt idx="16">
                    <c:v>4</c:v>
                  </c:pt>
                  <c:pt idx="17">
                    <c:v>18</c:v>
                  </c:pt>
                  <c:pt idx="18">
                    <c:v>4</c:v>
                  </c:pt>
                  <c:pt idx="19">
                    <c:v>12</c:v>
                  </c:pt>
                  <c:pt idx="20">
                    <c:v>25</c:v>
                  </c:pt>
                  <c:pt idx="21">
                    <c:v>19</c:v>
                  </c:pt>
                  <c:pt idx="22">
                    <c:v>14</c:v>
                  </c:pt>
                  <c:pt idx="23">
                    <c:v>12</c:v>
                  </c:pt>
                  <c:pt idx="24">
                    <c:v>25</c:v>
                  </c:pt>
                </c:lvl>
                <c:lvl>
                  <c:pt idx="0">
                    <c:v>5</c:v>
                  </c:pt>
                  <c:pt idx="1">
                    <c:v>16</c:v>
                  </c:pt>
                  <c:pt idx="2">
                    <c:v>25</c:v>
                  </c:pt>
                  <c:pt idx="3">
                    <c:v>6</c:v>
                  </c:pt>
                  <c:pt idx="4">
                    <c:v>15</c:v>
                  </c:pt>
                  <c:pt idx="5">
                    <c:v>23</c:v>
                  </c:pt>
                  <c:pt idx="6">
                    <c:v>24</c:v>
                  </c:pt>
                  <c:pt idx="7">
                    <c:v>25</c:v>
                  </c:pt>
                  <c:pt idx="8">
                    <c:v>22</c:v>
                  </c:pt>
                  <c:pt idx="9">
                    <c:v>22</c:v>
                  </c:pt>
                  <c:pt idx="10">
                    <c:v>13</c:v>
                  </c:pt>
                  <c:pt idx="11">
                    <c:v>20</c:v>
                  </c:pt>
                  <c:pt idx="12">
                    <c:v>13</c:v>
                  </c:pt>
                  <c:pt idx="13">
                    <c:v>21</c:v>
                  </c:pt>
                  <c:pt idx="14">
                    <c:v>22</c:v>
                  </c:pt>
                  <c:pt idx="15">
                    <c:v>8</c:v>
                  </c:pt>
                  <c:pt idx="16">
                    <c:v>25</c:v>
                  </c:pt>
                  <c:pt idx="17">
                    <c:v>11</c:v>
                  </c:pt>
                  <c:pt idx="18">
                    <c:v>25</c:v>
                  </c:pt>
                  <c:pt idx="19">
                    <c:v>17</c:v>
                  </c:pt>
                  <c:pt idx="20">
                    <c:v>3</c:v>
                  </c:pt>
                  <c:pt idx="21">
                    <c:v>10</c:v>
                  </c:pt>
                  <c:pt idx="22">
                    <c:v>15</c:v>
                  </c:pt>
                  <c:pt idx="23">
                    <c:v>16</c:v>
                  </c:pt>
                  <c:pt idx="24">
                    <c:v>4</c:v>
                  </c:pt>
                </c:lvl>
                <c:lvl>
                  <c:pt idx="0">
                    <c:v>P1</c:v>
                  </c:pt>
                  <c:pt idx="1">
                    <c:v>P2</c:v>
                  </c:pt>
                  <c:pt idx="2">
                    <c:v>P7</c:v>
                  </c:pt>
                  <c:pt idx="3">
                    <c:v>P10</c:v>
                  </c:pt>
                  <c:pt idx="4">
                    <c:v>P11</c:v>
                  </c:pt>
                  <c:pt idx="5">
                    <c:v>P16</c:v>
                  </c:pt>
                  <c:pt idx="6">
                    <c:v>P20</c:v>
                  </c:pt>
                  <c:pt idx="7">
                    <c:v>P21</c:v>
                  </c:pt>
                  <c:pt idx="8">
                    <c:v>P3</c:v>
                  </c:pt>
                  <c:pt idx="9">
                    <c:v>P5</c:v>
                  </c:pt>
                  <c:pt idx="10">
                    <c:v>P9</c:v>
                  </c:pt>
                  <c:pt idx="11">
                    <c:v>P12</c:v>
                  </c:pt>
                  <c:pt idx="12">
                    <c:v>P13</c:v>
                  </c:pt>
                  <c:pt idx="13">
                    <c:v>P14</c:v>
                  </c:pt>
                  <c:pt idx="14">
                    <c:v>P17</c:v>
                  </c:pt>
                  <c:pt idx="15">
                    <c:v>P18</c:v>
                  </c:pt>
                  <c:pt idx="16">
                    <c:v>P19</c:v>
                  </c:pt>
                  <c:pt idx="17">
                    <c:v>P22</c:v>
                  </c:pt>
                  <c:pt idx="18">
                    <c:v>P23</c:v>
                  </c:pt>
                  <c:pt idx="19">
                    <c:v>P24</c:v>
                  </c:pt>
                  <c:pt idx="20">
                    <c:v>P4</c:v>
                  </c:pt>
                  <c:pt idx="21">
                    <c:v>P6</c:v>
                  </c:pt>
                  <c:pt idx="22">
                    <c:v>P8</c:v>
                  </c:pt>
                  <c:pt idx="23">
                    <c:v>P15</c:v>
                  </c:pt>
                  <c:pt idx="24">
                    <c:v>P25</c:v>
                  </c:pt>
                </c:lvl>
                <c:lvl>
                  <c:pt idx="0">
                    <c:v>Obtiene Informacion del texto escrito.</c:v>
                  </c:pt>
                  <c:pt idx="8">
                    <c:v>Infiere e interpreta informacion del texto.</c:v>
                  </c:pt>
                  <c:pt idx="20">
                    <c:v>Reflexiona y evalua la forma, el contenido y contexto del texto.</c:v>
                  </c:pt>
                </c:lvl>
              </c:multiLvlStrCache>
            </c:multiLvlStrRef>
          </c:cat>
          <c:val>
            <c:numRef>
              <c:f>'registro de lectura'!$D$72:$AB$72</c:f>
              <c:numCache>
                <c:formatCode>General</c:formatCode>
                <c:ptCount val="25"/>
                <c:pt idx="0">
                  <c:v>5</c:v>
                </c:pt>
                <c:pt idx="1">
                  <c:v>16</c:v>
                </c:pt>
                <c:pt idx="2">
                  <c:v>25</c:v>
                </c:pt>
                <c:pt idx="3">
                  <c:v>6</c:v>
                </c:pt>
                <c:pt idx="4">
                  <c:v>15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22</c:v>
                </c:pt>
                <c:pt idx="9">
                  <c:v>22</c:v>
                </c:pt>
                <c:pt idx="10">
                  <c:v>13</c:v>
                </c:pt>
                <c:pt idx="11">
                  <c:v>20</c:v>
                </c:pt>
                <c:pt idx="12">
                  <c:v>13</c:v>
                </c:pt>
                <c:pt idx="13">
                  <c:v>21</c:v>
                </c:pt>
                <c:pt idx="14">
                  <c:v>22</c:v>
                </c:pt>
                <c:pt idx="15">
                  <c:v>8</c:v>
                </c:pt>
                <c:pt idx="16">
                  <c:v>25</c:v>
                </c:pt>
                <c:pt idx="17">
                  <c:v>11</c:v>
                </c:pt>
                <c:pt idx="18">
                  <c:v>25</c:v>
                </c:pt>
                <c:pt idx="19">
                  <c:v>17</c:v>
                </c:pt>
                <c:pt idx="20">
                  <c:v>3</c:v>
                </c:pt>
                <c:pt idx="21">
                  <c:v>10</c:v>
                </c:pt>
                <c:pt idx="22">
                  <c:v>15</c:v>
                </c:pt>
                <c:pt idx="23">
                  <c:v>16</c:v>
                </c:pt>
                <c:pt idx="2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B9-4CE8-9230-97FCD5C41A20}"/>
            </c:ext>
          </c:extLst>
        </c:ser>
        <c:ser>
          <c:idx val="2"/>
          <c:order val="2"/>
          <c:tx>
            <c:strRef>
              <c:f>'registro de lectura'!$B$73:$C$73</c:f>
              <c:strCache>
                <c:ptCount val="2"/>
                <c:pt idx="0">
                  <c:v>Inadecuadas(❌)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'registro de lectura'!$D$70:$AB$74</c:f>
              <c:multiLvlStrCache>
                <c:ptCount val="25"/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3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2</c:v>
                  </c:pt>
                  <c:pt idx="21">
                    <c:v>1</c:v>
                  </c:pt>
                  <c:pt idx="22">
                    <c:v>1</c:v>
                  </c:pt>
                  <c:pt idx="23">
                    <c:v>2</c:v>
                  </c:pt>
                  <c:pt idx="24">
                    <c:v>1</c:v>
                  </c:pt>
                </c:lvl>
                <c:lvl>
                  <c:pt idx="0">
                    <c:v>24</c:v>
                  </c:pt>
                  <c:pt idx="1">
                    <c:v>13</c:v>
                  </c:pt>
                  <c:pt idx="2">
                    <c:v>4</c:v>
                  </c:pt>
                  <c:pt idx="3">
                    <c:v>23</c:v>
                  </c:pt>
                  <c:pt idx="4">
                    <c:v>14</c:v>
                  </c:pt>
                  <c:pt idx="5">
                    <c:v>6</c:v>
                  </c:pt>
                  <c:pt idx="6">
                    <c:v>5</c:v>
                  </c:pt>
                  <c:pt idx="7">
                    <c:v>4</c:v>
                  </c:pt>
                  <c:pt idx="8">
                    <c:v>7</c:v>
                  </c:pt>
                  <c:pt idx="9">
                    <c:v>7</c:v>
                  </c:pt>
                  <c:pt idx="10">
                    <c:v>16</c:v>
                  </c:pt>
                  <c:pt idx="11">
                    <c:v>9</c:v>
                  </c:pt>
                  <c:pt idx="12">
                    <c:v>14</c:v>
                  </c:pt>
                  <c:pt idx="13">
                    <c:v>8</c:v>
                  </c:pt>
                  <c:pt idx="14">
                    <c:v>7</c:v>
                  </c:pt>
                  <c:pt idx="15">
                    <c:v>21</c:v>
                  </c:pt>
                  <c:pt idx="16">
                    <c:v>4</c:v>
                  </c:pt>
                  <c:pt idx="17">
                    <c:v>18</c:v>
                  </c:pt>
                  <c:pt idx="18">
                    <c:v>4</c:v>
                  </c:pt>
                  <c:pt idx="19">
                    <c:v>12</c:v>
                  </c:pt>
                  <c:pt idx="20">
                    <c:v>25</c:v>
                  </c:pt>
                  <c:pt idx="21">
                    <c:v>19</c:v>
                  </c:pt>
                  <c:pt idx="22">
                    <c:v>14</c:v>
                  </c:pt>
                  <c:pt idx="23">
                    <c:v>12</c:v>
                  </c:pt>
                  <c:pt idx="24">
                    <c:v>25</c:v>
                  </c:pt>
                </c:lvl>
                <c:lvl>
                  <c:pt idx="0">
                    <c:v>5</c:v>
                  </c:pt>
                  <c:pt idx="1">
                    <c:v>16</c:v>
                  </c:pt>
                  <c:pt idx="2">
                    <c:v>25</c:v>
                  </c:pt>
                  <c:pt idx="3">
                    <c:v>6</c:v>
                  </c:pt>
                  <c:pt idx="4">
                    <c:v>15</c:v>
                  </c:pt>
                  <c:pt idx="5">
                    <c:v>23</c:v>
                  </c:pt>
                  <c:pt idx="6">
                    <c:v>24</c:v>
                  </c:pt>
                  <c:pt idx="7">
                    <c:v>25</c:v>
                  </c:pt>
                  <c:pt idx="8">
                    <c:v>22</c:v>
                  </c:pt>
                  <c:pt idx="9">
                    <c:v>22</c:v>
                  </c:pt>
                  <c:pt idx="10">
                    <c:v>13</c:v>
                  </c:pt>
                  <c:pt idx="11">
                    <c:v>20</c:v>
                  </c:pt>
                  <c:pt idx="12">
                    <c:v>13</c:v>
                  </c:pt>
                  <c:pt idx="13">
                    <c:v>21</c:v>
                  </c:pt>
                  <c:pt idx="14">
                    <c:v>22</c:v>
                  </c:pt>
                  <c:pt idx="15">
                    <c:v>8</c:v>
                  </c:pt>
                  <c:pt idx="16">
                    <c:v>25</c:v>
                  </c:pt>
                  <c:pt idx="17">
                    <c:v>11</c:v>
                  </c:pt>
                  <c:pt idx="18">
                    <c:v>25</c:v>
                  </c:pt>
                  <c:pt idx="19">
                    <c:v>17</c:v>
                  </c:pt>
                  <c:pt idx="20">
                    <c:v>3</c:v>
                  </c:pt>
                  <c:pt idx="21">
                    <c:v>10</c:v>
                  </c:pt>
                  <c:pt idx="22">
                    <c:v>15</c:v>
                  </c:pt>
                  <c:pt idx="23">
                    <c:v>16</c:v>
                  </c:pt>
                  <c:pt idx="24">
                    <c:v>4</c:v>
                  </c:pt>
                </c:lvl>
                <c:lvl>
                  <c:pt idx="0">
                    <c:v>P1</c:v>
                  </c:pt>
                  <c:pt idx="1">
                    <c:v>P2</c:v>
                  </c:pt>
                  <c:pt idx="2">
                    <c:v>P7</c:v>
                  </c:pt>
                  <c:pt idx="3">
                    <c:v>P10</c:v>
                  </c:pt>
                  <c:pt idx="4">
                    <c:v>P11</c:v>
                  </c:pt>
                  <c:pt idx="5">
                    <c:v>P16</c:v>
                  </c:pt>
                  <c:pt idx="6">
                    <c:v>P20</c:v>
                  </c:pt>
                  <c:pt idx="7">
                    <c:v>P21</c:v>
                  </c:pt>
                  <c:pt idx="8">
                    <c:v>P3</c:v>
                  </c:pt>
                  <c:pt idx="9">
                    <c:v>P5</c:v>
                  </c:pt>
                  <c:pt idx="10">
                    <c:v>P9</c:v>
                  </c:pt>
                  <c:pt idx="11">
                    <c:v>P12</c:v>
                  </c:pt>
                  <c:pt idx="12">
                    <c:v>P13</c:v>
                  </c:pt>
                  <c:pt idx="13">
                    <c:v>P14</c:v>
                  </c:pt>
                  <c:pt idx="14">
                    <c:v>P17</c:v>
                  </c:pt>
                  <c:pt idx="15">
                    <c:v>P18</c:v>
                  </c:pt>
                  <c:pt idx="16">
                    <c:v>P19</c:v>
                  </c:pt>
                  <c:pt idx="17">
                    <c:v>P22</c:v>
                  </c:pt>
                  <c:pt idx="18">
                    <c:v>P23</c:v>
                  </c:pt>
                  <c:pt idx="19">
                    <c:v>P24</c:v>
                  </c:pt>
                  <c:pt idx="20">
                    <c:v>P4</c:v>
                  </c:pt>
                  <c:pt idx="21">
                    <c:v>P6</c:v>
                  </c:pt>
                  <c:pt idx="22">
                    <c:v>P8</c:v>
                  </c:pt>
                  <c:pt idx="23">
                    <c:v>P15</c:v>
                  </c:pt>
                  <c:pt idx="24">
                    <c:v>P25</c:v>
                  </c:pt>
                </c:lvl>
                <c:lvl>
                  <c:pt idx="0">
                    <c:v>Obtiene Informacion del texto escrito.</c:v>
                  </c:pt>
                  <c:pt idx="8">
                    <c:v>Infiere e interpreta informacion del texto.</c:v>
                  </c:pt>
                  <c:pt idx="20">
                    <c:v>Reflexiona y evalua la forma, el contenido y contexto del texto.</c:v>
                  </c:pt>
                </c:lvl>
              </c:multiLvlStrCache>
            </c:multiLvlStrRef>
          </c:cat>
          <c:val>
            <c:numRef>
              <c:f>'registro de lectura'!$D$73:$AB$73</c:f>
              <c:numCache>
                <c:formatCode>General</c:formatCode>
                <c:ptCount val="25"/>
                <c:pt idx="0">
                  <c:v>24</c:v>
                </c:pt>
                <c:pt idx="1">
                  <c:v>13</c:v>
                </c:pt>
                <c:pt idx="2">
                  <c:v>4</c:v>
                </c:pt>
                <c:pt idx="3">
                  <c:v>23</c:v>
                </c:pt>
                <c:pt idx="4">
                  <c:v>14</c:v>
                </c:pt>
                <c:pt idx="5">
                  <c:v>6</c:v>
                </c:pt>
                <c:pt idx="6">
                  <c:v>5</c:v>
                </c:pt>
                <c:pt idx="7">
                  <c:v>4</c:v>
                </c:pt>
                <c:pt idx="8">
                  <c:v>7</c:v>
                </c:pt>
                <c:pt idx="9">
                  <c:v>7</c:v>
                </c:pt>
                <c:pt idx="10">
                  <c:v>16</c:v>
                </c:pt>
                <c:pt idx="11">
                  <c:v>9</c:v>
                </c:pt>
                <c:pt idx="12">
                  <c:v>14</c:v>
                </c:pt>
                <c:pt idx="13">
                  <c:v>8</c:v>
                </c:pt>
                <c:pt idx="14">
                  <c:v>7</c:v>
                </c:pt>
                <c:pt idx="15">
                  <c:v>21</c:v>
                </c:pt>
                <c:pt idx="16">
                  <c:v>4</c:v>
                </c:pt>
                <c:pt idx="17">
                  <c:v>18</c:v>
                </c:pt>
                <c:pt idx="18">
                  <c:v>4</c:v>
                </c:pt>
                <c:pt idx="19">
                  <c:v>12</c:v>
                </c:pt>
                <c:pt idx="20">
                  <c:v>25</c:v>
                </c:pt>
                <c:pt idx="21">
                  <c:v>19</c:v>
                </c:pt>
                <c:pt idx="22">
                  <c:v>14</c:v>
                </c:pt>
                <c:pt idx="23">
                  <c:v>12</c:v>
                </c:pt>
                <c:pt idx="2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B9-4CE8-9230-97FCD5C41A20}"/>
            </c:ext>
          </c:extLst>
        </c:ser>
        <c:ser>
          <c:idx val="3"/>
          <c:order val="3"/>
          <c:tx>
            <c:strRef>
              <c:f>'registro de lectura'!$B$74:$C$74</c:f>
              <c:strCache>
                <c:ptCount val="2"/>
                <c:pt idx="0">
                  <c:v>Omitidas(➖)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'registro de lectura'!$D$70:$AB$74</c:f>
              <c:multiLvlStrCache>
                <c:ptCount val="25"/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3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2</c:v>
                  </c:pt>
                  <c:pt idx="21">
                    <c:v>1</c:v>
                  </c:pt>
                  <c:pt idx="22">
                    <c:v>1</c:v>
                  </c:pt>
                  <c:pt idx="23">
                    <c:v>2</c:v>
                  </c:pt>
                  <c:pt idx="24">
                    <c:v>1</c:v>
                  </c:pt>
                </c:lvl>
                <c:lvl>
                  <c:pt idx="0">
                    <c:v>24</c:v>
                  </c:pt>
                  <c:pt idx="1">
                    <c:v>13</c:v>
                  </c:pt>
                  <c:pt idx="2">
                    <c:v>4</c:v>
                  </c:pt>
                  <c:pt idx="3">
                    <c:v>23</c:v>
                  </c:pt>
                  <c:pt idx="4">
                    <c:v>14</c:v>
                  </c:pt>
                  <c:pt idx="5">
                    <c:v>6</c:v>
                  </c:pt>
                  <c:pt idx="6">
                    <c:v>5</c:v>
                  </c:pt>
                  <c:pt idx="7">
                    <c:v>4</c:v>
                  </c:pt>
                  <c:pt idx="8">
                    <c:v>7</c:v>
                  </c:pt>
                  <c:pt idx="9">
                    <c:v>7</c:v>
                  </c:pt>
                  <c:pt idx="10">
                    <c:v>16</c:v>
                  </c:pt>
                  <c:pt idx="11">
                    <c:v>9</c:v>
                  </c:pt>
                  <c:pt idx="12">
                    <c:v>14</c:v>
                  </c:pt>
                  <c:pt idx="13">
                    <c:v>8</c:v>
                  </c:pt>
                  <c:pt idx="14">
                    <c:v>7</c:v>
                  </c:pt>
                  <c:pt idx="15">
                    <c:v>21</c:v>
                  </c:pt>
                  <c:pt idx="16">
                    <c:v>4</c:v>
                  </c:pt>
                  <c:pt idx="17">
                    <c:v>18</c:v>
                  </c:pt>
                  <c:pt idx="18">
                    <c:v>4</c:v>
                  </c:pt>
                  <c:pt idx="19">
                    <c:v>12</c:v>
                  </c:pt>
                  <c:pt idx="20">
                    <c:v>25</c:v>
                  </c:pt>
                  <c:pt idx="21">
                    <c:v>19</c:v>
                  </c:pt>
                  <c:pt idx="22">
                    <c:v>14</c:v>
                  </c:pt>
                  <c:pt idx="23">
                    <c:v>12</c:v>
                  </c:pt>
                  <c:pt idx="24">
                    <c:v>25</c:v>
                  </c:pt>
                </c:lvl>
                <c:lvl>
                  <c:pt idx="0">
                    <c:v>5</c:v>
                  </c:pt>
                  <c:pt idx="1">
                    <c:v>16</c:v>
                  </c:pt>
                  <c:pt idx="2">
                    <c:v>25</c:v>
                  </c:pt>
                  <c:pt idx="3">
                    <c:v>6</c:v>
                  </c:pt>
                  <c:pt idx="4">
                    <c:v>15</c:v>
                  </c:pt>
                  <c:pt idx="5">
                    <c:v>23</c:v>
                  </c:pt>
                  <c:pt idx="6">
                    <c:v>24</c:v>
                  </c:pt>
                  <c:pt idx="7">
                    <c:v>25</c:v>
                  </c:pt>
                  <c:pt idx="8">
                    <c:v>22</c:v>
                  </c:pt>
                  <c:pt idx="9">
                    <c:v>22</c:v>
                  </c:pt>
                  <c:pt idx="10">
                    <c:v>13</c:v>
                  </c:pt>
                  <c:pt idx="11">
                    <c:v>20</c:v>
                  </c:pt>
                  <c:pt idx="12">
                    <c:v>13</c:v>
                  </c:pt>
                  <c:pt idx="13">
                    <c:v>21</c:v>
                  </c:pt>
                  <c:pt idx="14">
                    <c:v>22</c:v>
                  </c:pt>
                  <c:pt idx="15">
                    <c:v>8</c:v>
                  </c:pt>
                  <c:pt idx="16">
                    <c:v>25</c:v>
                  </c:pt>
                  <c:pt idx="17">
                    <c:v>11</c:v>
                  </c:pt>
                  <c:pt idx="18">
                    <c:v>25</c:v>
                  </c:pt>
                  <c:pt idx="19">
                    <c:v>17</c:v>
                  </c:pt>
                  <c:pt idx="20">
                    <c:v>3</c:v>
                  </c:pt>
                  <c:pt idx="21">
                    <c:v>10</c:v>
                  </c:pt>
                  <c:pt idx="22">
                    <c:v>15</c:v>
                  </c:pt>
                  <c:pt idx="23">
                    <c:v>16</c:v>
                  </c:pt>
                  <c:pt idx="24">
                    <c:v>4</c:v>
                  </c:pt>
                </c:lvl>
                <c:lvl>
                  <c:pt idx="0">
                    <c:v>P1</c:v>
                  </c:pt>
                  <c:pt idx="1">
                    <c:v>P2</c:v>
                  </c:pt>
                  <c:pt idx="2">
                    <c:v>P7</c:v>
                  </c:pt>
                  <c:pt idx="3">
                    <c:v>P10</c:v>
                  </c:pt>
                  <c:pt idx="4">
                    <c:v>P11</c:v>
                  </c:pt>
                  <c:pt idx="5">
                    <c:v>P16</c:v>
                  </c:pt>
                  <c:pt idx="6">
                    <c:v>P20</c:v>
                  </c:pt>
                  <c:pt idx="7">
                    <c:v>P21</c:v>
                  </c:pt>
                  <c:pt idx="8">
                    <c:v>P3</c:v>
                  </c:pt>
                  <c:pt idx="9">
                    <c:v>P5</c:v>
                  </c:pt>
                  <c:pt idx="10">
                    <c:v>P9</c:v>
                  </c:pt>
                  <c:pt idx="11">
                    <c:v>P12</c:v>
                  </c:pt>
                  <c:pt idx="12">
                    <c:v>P13</c:v>
                  </c:pt>
                  <c:pt idx="13">
                    <c:v>P14</c:v>
                  </c:pt>
                  <c:pt idx="14">
                    <c:v>P17</c:v>
                  </c:pt>
                  <c:pt idx="15">
                    <c:v>P18</c:v>
                  </c:pt>
                  <c:pt idx="16">
                    <c:v>P19</c:v>
                  </c:pt>
                  <c:pt idx="17">
                    <c:v>P22</c:v>
                  </c:pt>
                  <c:pt idx="18">
                    <c:v>P23</c:v>
                  </c:pt>
                  <c:pt idx="19">
                    <c:v>P24</c:v>
                  </c:pt>
                  <c:pt idx="20">
                    <c:v>P4</c:v>
                  </c:pt>
                  <c:pt idx="21">
                    <c:v>P6</c:v>
                  </c:pt>
                  <c:pt idx="22">
                    <c:v>P8</c:v>
                  </c:pt>
                  <c:pt idx="23">
                    <c:v>P15</c:v>
                  </c:pt>
                  <c:pt idx="24">
                    <c:v>P25</c:v>
                  </c:pt>
                </c:lvl>
                <c:lvl>
                  <c:pt idx="0">
                    <c:v>Obtiene Informacion del texto escrito.</c:v>
                  </c:pt>
                  <c:pt idx="8">
                    <c:v>Infiere e interpreta informacion del texto.</c:v>
                  </c:pt>
                  <c:pt idx="20">
                    <c:v>Reflexiona y evalua la forma, el contenido y contexto del texto.</c:v>
                  </c:pt>
                </c:lvl>
              </c:multiLvlStrCache>
            </c:multiLvlStrRef>
          </c:cat>
          <c:val>
            <c:numRef>
              <c:f>'registro de lectura'!$D$74:$AB$74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B9-4CE8-9230-97FCD5C41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0423423"/>
        <c:axId val="2030445055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'registro de lectura'!$B$71:$C$71</c15:sqref>
                        </c15:formulaRef>
                      </c:ext>
                    </c:extLst>
                    <c:strCache>
                      <c:ptCount val="2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'registro de lectura'!$D$70:$AB$74</c15:sqref>
                        </c15:formulaRef>
                      </c:ext>
                    </c:extLst>
                    <c:multiLvlStrCache>
                      <c:ptCount val="25"/>
                      <c:lvl>
                        <c:pt idx="0">
                          <c:v>1</c:v>
                        </c:pt>
                        <c:pt idx="1">
                          <c:v>1</c:v>
                        </c:pt>
                        <c:pt idx="2">
                          <c:v>1</c:v>
                        </c:pt>
                        <c:pt idx="3">
                          <c:v>1</c:v>
                        </c:pt>
                        <c:pt idx="4">
                          <c:v>1</c:v>
                        </c:pt>
                        <c:pt idx="5">
                          <c:v>1</c:v>
                        </c:pt>
                        <c:pt idx="6">
                          <c:v>1</c:v>
                        </c:pt>
                        <c:pt idx="7">
                          <c:v>1</c:v>
                        </c:pt>
                        <c:pt idx="8">
                          <c:v>1</c:v>
                        </c:pt>
                        <c:pt idx="9">
                          <c:v>1</c:v>
                        </c:pt>
                        <c:pt idx="10">
                          <c:v>1</c:v>
                        </c:pt>
                        <c:pt idx="11">
                          <c:v>1</c:v>
                        </c:pt>
                        <c:pt idx="12">
                          <c:v>3</c:v>
                        </c:pt>
                        <c:pt idx="13">
                          <c:v>1</c:v>
                        </c:pt>
                        <c:pt idx="14">
                          <c:v>1</c:v>
                        </c:pt>
                        <c:pt idx="15">
                          <c:v>1</c:v>
                        </c:pt>
                        <c:pt idx="16">
                          <c:v>1</c:v>
                        </c:pt>
                        <c:pt idx="17">
                          <c:v>1</c:v>
                        </c:pt>
                        <c:pt idx="18">
                          <c:v>1</c:v>
                        </c:pt>
                        <c:pt idx="19">
                          <c:v>1</c:v>
                        </c:pt>
                        <c:pt idx="20">
                          <c:v>2</c:v>
                        </c:pt>
                        <c:pt idx="21">
                          <c:v>1</c:v>
                        </c:pt>
                        <c:pt idx="22">
                          <c:v>1</c:v>
                        </c:pt>
                        <c:pt idx="23">
                          <c:v>2</c:v>
                        </c:pt>
                        <c:pt idx="24">
                          <c:v>1</c:v>
                        </c:pt>
                      </c:lvl>
                      <c:lvl>
                        <c:pt idx="0">
                          <c:v>24</c:v>
                        </c:pt>
                        <c:pt idx="1">
                          <c:v>13</c:v>
                        </c:pt>
                        <c:pt idx="2">
                          <c:v>4</c:v>
                        </c:pt>
                        <c:pt idx="3">
                          <c:v>23</c:v>
                        </c:pt>
                        <c:pt idx="4">
                          <c:v>14</c:v>
                        </c:pt>
                        <c:pt idx="5">
                          <c:v>6</c:v>
                        </c:pt>
                        <c:pt idx="6">
                          <c:v>5</c:v>
                        </c:pt>
                        <c:pt idx="7">
                          <c:v>4</c:v>
                        </c:pt>
                        <c:pt idx="8">
                          <c:v>7</c:v>
                        </c:pt>
                        <c:pt idx="9">
                          <c:v>7</c:v>
                        </c:pt>
                        <c:pt idx="10">
                          <c:v>16</c:v>
                        </c:pt>
                        <c:pt idx="11">
                          <c:v>9</c:v>
                        </c:pt>
                        <c:pt idx="12">
                          <c:v>14</c:v>
                        </c:pt>
                        <c:pt idx="13">
                          <c:v>8</c:v>
                        </c:pt>
                        <c:pt idx="14">
                          <c:v>7</c:v>
                        </c:pt>
                        <c:pt idx="15">
                          <c:v>21</c:v>
                        </c:pt>
                        <c:pt idx="16">
                          <c:v>4</c:v>
                        </c:pt>
                        <c:pt idx="17">
                          <c:v>18</c:v>
                        </c:pt>
                        <c:pt idx="18">
                          <c:v>4</c:v>
                        </c:pt>
                        <c:pt idx="19">
                          <c:v>12</c:v>
                        </c:pt>
                        <c:pt idx="20">
                          <c:v>25</c:v>
                        </c:pt>
                        <c:pt idx="21">
                          <c:v>19</c:v>
                        </c:pt>
                        <c:pt idx="22">
                          <c:v>14</c:v>
                        </c:pt>
                        <c:pt idx="23">
                          <c:v>12</c:v>
                        </c:pt>
                        <c:pt idx="24">
                          <c:v>25</c:v>
                        </c:pt>
                      </c:lvl>
                      <c:lvl>
                        <c:pt idx="0">
                          <c:v>5</c:v>
                        </c:pt>
                        <c:pt idx="1">
                          <c:v>16</c:v>
                        </c:pt>
                        <c:pt idx="2">
                          <c:v>25</c:v>
                        </c:pt>
                        <c:pt idx="3">
                          <c:v>6</c:v>
                        </c:pt>
                        <c:pt idx="4">
                          <c:v>15</c:v>
                        </c:pt>
                        <c:pt idx="5">
                          <c:v>23</c:v>
                        </c:pt>
                        <c:pt idx="6">
                          <c:v>24</c:v>
                        </c:pt>
                        <c:pt idx="7">
                          <c:v>25</c:v>
                        </c:pt>
                        <c:pt idx="8">
                          <c:v>22</c:v>
                        </c:pt>
                        <c:pt idx="9">
                          <c:v>22</c:v>
                        </c:pt>
                        <c:pt idx="10">
                          <c:v>13</c:v>
                        </c:pt>
                        <c:pt idx="11">
                          <c:v>20</c:v>
                        </c:pt>
                        <c:pt idx="12">
                          <c:v>13</c:v>
                        </c:pt>
                        <c:pt idx="13">
                          <c:v>21</c:v>
                        </c:pt>
                        <c:pt idx="14">
                          <c:v>22</c:v>
                        </c:pt>
                        <c:pt idx="15">
                          <c:v>8</c:v>
                        </c:pt>
                        <c:pt idx="16">
                          <c:v>25</c:v>
                        </c:pt>
                        <c:pt idx="17">
                          <c:v>11</c:v>
                        </c:pt>
                        <c:pt idx="18">
                          <c:v>25</c:v>
                        </c:pt>
                        <c:pt idx="19">
                          <c:v>17</c:v>
                        </c:pt>
                        <c:pt idx="20">
                          <c:v>3</c:v>
                        </c:pt>
                        <c:pt idx="21">
                          <c:v>10</c:v>
                        </c:pt>
                        <c:pt idx="22">
                          <c:v>15</c:v>
                        </c:pt>
                        <c:pt idx="23">
                          <c:v>16</c:v>
                        </c:pt>
                        <c:pt idx="24">
                          <c:v>4</c:v>
                        </c:pt>
                      </c:lvl>
                      <c:lvl>
                        <c:pt idx="0">
                          <c:v>P1</c:v>
                        </c:pt>
                        <c:pt idx="1">
                          <c:v>P2</c:v>
                        </c:pt>
                        <c:pt idx="2">
                          <c:v>P7</c:v>
                        </c:pt>
                        <c:pt idx="3">
                          <c:v>P10</c:v>
                        </c:pt>
                        <c:pt idx="4">
                          <c:v>P11</c:v>
                        </c:pt>
                        <c:pt idx="5">
                          <c:v>P16</c:v>
                        </c:pt>
                        <c:pt idx="6">
                          <c:v>P20</c:v>
                        </c:pt>
                        <c:pt idx="7">
                          <c:v>P21</c:v>
                        </c:pt>
                        <c:pt idx="8">
                          <c:v>P3</c:v>
                        </c:pt>
                        <c:pt idx="9">
                          <c:v>P5</c:v>
                        </c:pt>
                        <c:pt idx="10">
                          <c:v>P9</c:v>
                        </c:pt>
                        <c:pt idx="11">
                          <c:v>P12</c:v>
                        </c:pt>
                        <c:pt idx="12">
                          <c:v>P13</c:v>
                        </c:pt>
                        <c:pt idx="13">
                          <c:v>P14</c:v>
                        </c:pt>
                        <c:pt idx="14">
                          <c:v>P17</c:v>
                        </c:pt>
                        <c:pt idx="15">
                          <c:v>P18</c:v>
                        </c:pt>
                        <c:pt idx="16">
                          <c:v>P19</c:v>
                        </c:pt>
                        <c:pt idx="17">
                          <c:v>P22</c:v>
                        </c:pt>
                        <c:pt idx="18">
                          <c:v>P23</c:v>
                        </c:pt>
                        <c:pt idx="19">
                          <c:v>P24</c:v>
                        </c:pt>
                        <c:pt idx="20">
                          <c:v>P4</c:v>
                        </c:pt>
                        <c:pt idx="21">
                          <c:v>P6</c:v>
                        </c:pt>
                        <c:pt idx="22">
                          <c:v>P8</c:v>
                        </c:pt>
                        <c:pt idx="23">
                          <c:v>P15</c:v>
                        </c:pt>
                        <c:pt idx="24">
                          <c:v>P25</c:v>
                        </c:pt>
                      </c:lvl>
                      <c:lvl>
                        <c:pt idx="0">
                          <c:v>Obtiene Informacion del texto escrito.</c:v>
                        </c:pt>
                        <c:pt idx="8">
                          <c:v>Infiere e interpreta informacion del texto.</c:v>
                        </c:pt>
                        <c:pt idx="20">
                          <c:v>Reflexiona y evalua la forma, el contenido y contexto del texto.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'registro de lectura'!$D$71:$AB$71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ECB9-4CE8-9230-97FCD5C41A20}"/>
                  </c:ext>
                </c:extLst>
              </c15:ser>
            </c15:filteredBarSeries>
          </c:ext>
        </c:extLst>
      </c:barChart>
      <c:catAx>
        <c:axId val="203042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36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30445055"/>
        <c:crosses val="autoZero"/>
        <c:auto val="1"/>
        <c:lblAlgn val="ctr"/>
        <c:lblOffset val="100"/>
        <c:noMultiLvlLbl val="0"/>
      </c:catAx>
      <c:valAx>
        <c:axId val="2030445055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3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3042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Resumen</a:t>
            </a:r>
            <a:r>
              <a:rPr lang="en-US" baseline="0"/>
              <a:t> estadistico de Matemática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'registro de matemática'!$B$57:$C$57</c:f>
              <c:strCache>
                <c:ptCount val="2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'registro de matemática'!$D$56:$AE$56</c:f>
              <c:strCache>
                <c:ptCount val="25"/>
                <c:pt idx="0">
                  <c:v>Resuelve problemas de cantidad.(1)</c:v>
                </c:pt>
                <c:pt idx="11">
                  <c:v>Resuelve problemas de regularidad, equivalencia y cambio.(2)</c:v>
                </c:pt>
                <c:pt idx="18">
                  <c:v>Resuelve problemas de forma, movimiento y localizacion.(3)</c:v>
                </c:pt>
                <c:pt idx="24">
                  <c:v>Resuelve problemas de gestion de datos e incertidumbre.(4)</c:v>
                </c:pt>
              </c:strCache>
            </c:strRef>
          </c:cat>
          <c:val>
            <c:numRef>
              <c:f>'registro de matemática'!$D$57:$AE$57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2236-4789-AB45-601FC626B800}"/>
            </c:ext>
          </c:extLst>
        </c:ser>
        <c:ser>
          <c:idx val="1"/>
          <c:order val="1"/>
          <c:tx>
            <c:strRef>
              <c:f>'registro de matemática'!$B$58:$C$58</c:f>
              <c:strCache>
                <c:ptCount val="2"/>
                <c:pt idx="0">
                  <c:v>Resumen de respuestas del aula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'registro de matemática'!$D$56:$AE$56</c:f>
              <c:strCache>
                <c:ptCount val="25"/>
                <c:pt idx="0">
                  <c:v>Resuelve problemas de cantidad.(1)</c:v>
                </c:pt>
                <c:pt idx="11">
                  <c:v>Resuelve problemas de regularidad, equivalencia y cambio.(2)</c:v>
                </c:pt>
                <c:pt idx="18">
                  <c:v>Resuelve problemas de forma, movimiento y localizacion.(3)</c:v>
                </c:pt>
                <c:pt idx="24">
                  <c:v>Resuelve problemas de gestion de datos e incertidumbre.(4)</c:v>
                </c:pt>
              </c:strCache>
            </c:strRef>
          </c:cat>
          <c:val>
            <c:numRef>
              <c:f>'registro de matemática'!$D$58:$AE$58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36-4789-AB45-601FC626B800}"/>
            </c:ext>
          </c:extLst>
        </c:ser>
        <c:ser>
          <c:idx val="2"/>
          <c:order val="2"/>
          <c:tx>
            <c:strRef>
              <c:f>'registro de matemática'!$B$59:$C$59</c:f>
              <c:strCache>
                <c:ptCount val="2"/>
                <c:pt idx="0">
                  <c:v>Adecuadas(✔️)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'registro de matemática'!$D$56:$AE$56</c:f>
              <c:strCache>
                <c:ptCount val="25"/>
                <c:pt idx="0">
                  <c:v>Resuelve problemas de cantidad.(1)</c:v>
                </c:pt>
                <c:pt idx="11">
                  <c:v>Resuelve problemas de regularidad, equivalencia y cambio.(2)</c:v>
                </c:pt>
                <c:pt idx="18">
                  <c:v>Resuelve problemas de forma, movimiento y localizacion.(3)</c:v>
                </c:pt>
                <c:pt idx="24">
                  <c:v>Resuelve problemas de gestion de datos e incertidumbre.(4)</c:v>
                </c:pt>
              </c:strCache>
            </c:strRef>
          </c:cat>
          <c:val>
            <c:numRef>
              <c:f>'registro de matemática'!$D$59:$AE$59</c:f>
              <c:numCache>
                <c:formatCode>General</c:formatCode>
                <c:ptCount val="28"/>
                <c:pt idx="0">
                  <c:v>18</c:v>
                </c:pt>
                <c:pt idx="1">
                  <c:v>17</c:v>
                </c:pt>
                <c:pt idx="2">
                  <c:v>16</c:v>
                </c:pt>
                <c:pt idx="3">
                  <c:v>19</c:v>
                </c:pt>
                <c:pt idx="4">
                  <c:v>21</c:v>
                </c:pt>
                <c:pt idx="5">
                  <c:v>19</c:v>
                </c:pt>
                <c:pt idx="6">
                  <c:v>21</c:v>
                </c:pt>
                <c:pt idx="7">
                  <c:v>15</c:v>
                </c:pt>
                <c:pt idx="8">
                  <c:v>19</c:v>
                </c:pt>
                <c:pt idx="9">
                  <c:v>19</c:v>
                </c:pt>
                <c:pt idx="10">
                  <c:v>20</c:v>
                </c:pt>
                <c:pt idx="11">
                  <c:v>16</c:v>
                </c:pt>
                <c:pt idx="12">
                  <c:v>22</c:v>
                </c:pt>
                <c:pt idx="13">
                  <c:v>22</c:v>
                </c:pt>
                <c:pt idx="14">
                  <c:v>20</c:v>
                </c:pt>
                <c:pt idx="15">
                  <c:v>17</c:v>
                </c:pt>
                <c:pt idx="16">
                  <c:v>20</c:v>
                </c:pt>
                <c:pt idx="17">
                  <c:v>19</c:v>
                </c:pt>
                <c:pt idx="18">
                  <c:v>14</c:v>
                </c:pt>
                <c:pt idx="19">
                  <c:v>8</c:v>
                </c:pt>
                <c:pt idx="20">
                  <c:v>18</c:v>
                </c:pt>
                <c:pt idx="21">
                  <c:v>14</c:v>
                </c:pt>
                <c:pt idx="22">
                  <c:v>13</c:v>
                </c:pt>
                <c:pt idx="23">
                  <c:v>20</c:v>
                </c:pt>
                <c:pt idx="24">
                  <c:v>17</c:v>
                </c:pt>
                <c:pt idx="25">
                  <c:v>24</c:v>
                </c:pt>
                <c:pt idx="26">
                  <c:v>19</c:v>
                </c:pt>
                <c:pt idx="2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36-4789-AB45-601FC626B800}"/>
            </c:ext>
          </c:extLst>
        </c:ser>
        <c:ser>
          <c:idx val="3"/>
          <c:order val="3"/>
          <c:tx>
            <c:strRef>
              <c:f>'registro de matemática'!$B$60:$C$60</c:f>
              <c:strCache>
                <c:ptCount val="2"/>
                <c:pt idx="0">
                  <c:v>Parciales(⚫)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'registro de matemática'!$D$56:$AE$56</c:f>
              <c:strCache>
                <c:ptCount val="25"/>
                <c:pt idx="0">
                  <c:v>Resuelve problemas de cantidad.(1)</c:v>
                </c:pt>
                <c:pt idx="11">
                  <c:v>Resuelve problemas de regularidad, equivalencia y cambio.(2)</c:v>
                </c:pt>
                <c:pt idx="18">
                  <c:v>Resuelve problemas de forma, movimiento y localizacion.(3)</c:v>
                </c:pt>
                <c:pt idx="24">
                  <c:v>Resuelve problemas de gestion de datos e incertidumbre.(4)</c:v>
                </c:pt>
              </c:strCache>
            </c:strRef>
          </c:cat>
          <c:val>
            <c:numRef>
              <c:f>'registro de matemática'!$D$60:$AE$60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8</c:v>
                </c:pt>
                <c:pt idx="3">
                  <c:v>6</c:v>
                </c:pt>
                <c:pt idx="4">
                  <c:v>6</c:v>
                </c:pt>
                <c:pt idx="5">
                  <c:v>8</c:v>
                </c:pt>
                <c:pt idx="6">
                  <c:v>5</c:v>
                </c:pt>
                <c:pt idx="7">
                  <c:v>10</c:v>
                </c:pt>
                <c:pt idx="8">
                  <c:v>4</c:v>
                </c:pt>
                <c:pt idx="9">
                  <c:v>8</c:v>
                </c:pt>
                <c:pt idx="10">
                  <c:v>6</c:v>
                </c:pt>
                <c:pt idx="11">
                  <c:v>7</c:v>
                </c:pt>
                <c:pt idx="12">
                  <c:v>7</c:v>
                </c:pt>
                <c:pt idx="13">
                  <c:v>3</c:v>
                </c:pt>
                <c:pt idx="14">
                  <c:v>6</c:v>
                </c:pt>
                <c:pt idx="15">
                  <c:v>6</c:v>
                </c:pt>
                <c:pt idx="16">
                  <c:v>5</c:v>
                </c:pt>
                <c:pt idx="17">
                  <c:v>7</c:v>
                </c:pt>
                <c:pt idx="18">
                  <c:v>8</c:v>
                </c:pt>
                <c:pt idx="19">
                  <c:v>6</c:v>
                </c:pt>
                <c:pt idx="20">
                  <c:v>7</c:v>
                </c:pt>
                <c:pt idx="21">
                  <c:v>4</c:v>
                </c:pt>
                <c:pt idx="22">
                  <c:v>6</c:v>
                </c:pt>
                <c:pt idx="23">
                  <c:v>6</c:v>
                </c:pt>
                <c:pt idx="24">
                  <c:v>12</c:v>
                </c:pt>
                <c:pt idx="25">
                  <c:v>5</c:v>
                </c:pt>
                <c:pt idx="26">
                  <c:v>8</c:v>
                </c:pt>
                <c:pt idx="2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36-4789-AB45-601FC626B800}"/>
            </c:ext>
          </c:extLst>
        </c:ser>
        <c:ser>
          <c:idx val="4"/>
          <c:order val="4"/>
          <c:tx>
            <c:strRef>
              <c:f>'registro de matemática'!$B$61:$C$61</c:f>
              <c:strCache>
                <c:ptCount val="2"/>
                <c:pt idx="0">
                  <c:v>Inadecuadas(❌)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'registro de matemática'!$D$56:$AE$56</c:f>
              <c:strCache>
                <c:ptCount val="25"/>
                <c:pt idx="0">
                  <c:v>Resuelve problemas de cantidad.(1)</c:v>
                </c:pt>
                <c:pt idx="11">
                  <c:v>Resuelve problemas de regularidad, equivalencia y cambio.(2)</c:v>
                </c:pt>
                <c:pt idx="18">
                  <c:v>Resuelve problemas de forma, movimiento y localizacion.(3)</c:v>
                </c:pt>
                <c:pt idx="24">
                  <c:v>Resuelve problemas de gestion de datos e incertidumbre.(4)</c:v>
                </c:pt>
              </c:strCache>
            </c:strRef>
          </c:cat>
          <c:val>
            <c:numRef>
              <c:f>'registro de matemática'!$D$61:$AE$61</c:f>
              <c:numCache>
                <c:formatCode>General</c:formatCode>
                <c:ptCount val="28"/>
                <c:pt idx="0">
                  <c:v>6</c:v>
                </c:pt>
                <c:pt idx="1">
                  <c:v>2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0</c:v>
                </c:pt>
                <c:pt idx="13">
                  <c:v>5</c:v>
                </c:pt>
                <c:pt idx="14">
                  <c:v>4</c:v>
                </c:pt>
                <c:pt idx="15">
                  <c:v>6</c:v>
                </c:pt>
                <c:pt idx="16">
                  <c:v>5</c:v>
                </c:pt>
                <c:pt idx="17">
                  <c:v>3</c:v>
                </c:pt>
                <c:pt idx="18">
                  <c:v>6</c:v>
                </c:pt>
                <c:pt idx="19">
                  <c:v>15</c:v>
                </c:pt>
                <c:pt idx="20">
                  <c:v>5</c:v>
                </c:pt>
                <c:pt idx="21">
                  <c:v>12</c:v>
                </c:pt>
                <c:pt idx="22">
                  <c:v>10</c:v>
                </c:pt>
                <c:pt idx="23">
                  <c:v>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36-4789-AB45-601FC626B800}"/>
            </c:ext>
          </c:extLst>
        </c:ser>
        <c:ser>
          <c:idx val="5"/>
          <c:order val="5"/>
          <c:tx>
            <c:strRef>
              <c:f>'registro de matemática'!$B$62:$C$62</c:f>
              <c:strCache>
                <c:ptCount val="2"/>
                <c:pt idx="0">
                  <c:v>Omitidas(➖)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'registro de matemática'!$D$56:$AE$56</c:f>
              <c:strCache>
                <c:ptCount val="25"/>
                <c:pt idx="0">
                  <c:v>Resuelve problemas de cantidad.(1)</c:v>
                </c:pt>
                <c:pt idx="11">
                  <c:v>Resuelve problemas de regularidad, equivalencia y cambio.(2)</c:v>
                </c:pt>
                <c:pt idx="18">
                  <c:v>Resuelve problemas de forma, movimiento y localizacion.(3)</c:v>
                </c:pt>
                <c:pt idx="24">
                  <c:v>Resuelve problemas de gestion de datos e incertidumbre.(4)</c:v>
                </c:pt>
              </c:strCache>
            </c:strRef>
          </c:cat>
          <c:val>
            <c:numRef>
              <c:f>'registro de matemática'!$D$62:$AE$62</c:f>
              <c:numCache>
                <c:formatCode>General</c:formatCode>
                <c:ptCount val="2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3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236-4789-AB45-601FC626B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3370895"/>
        <c:axId val="593381711"/>
      </c:barChart>
      <c:catAx>
        <c:axId val="59337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93381711"/>
        <c:crosses val="autoZero"/>
        <c:auto val="1"/>
        <c:lblAlgn val="ctr"/>
        <c:lblOffset val="100"/>
        <c:noMultiLvlLbl val="0"/>
      </c:catAx>
      <c:valAx>
        <c:axId val="593381711"/>
        <c:scaling>
          <c:orientation val="minMax"/>
          <c:max val="2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93370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NIVEL DE LOGRO DE LAS COMPETENCIAS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'DIRECTOR MATEMATICA'!$C$7</c:f>
              <c:strCache>
                <c:ptCount val="1"/>
                <c:pt idx="0">
                  <c:v>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MATEMATICA'!$B$8:$B$11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MATEMATICA'!$C$8:$C$11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0.46666666666666667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8-44E6-B1F2-CA78159B156C}"/>
            </c:ext>
          </c:extLst>
        </c:ser>
        <c:ser>
          <c:idx val="1"/>
          <c:order val="1"/>
          <c:tx>
            <c:strRef>
              <c:f>'DIRECTOR MATEMATICA'!$D$7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MATEMATICA'!$B$8:$B$11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MATEMATICA'!$D$8:$D$11</c:f>
              <c:numCache>
                <c:formatCode>0%</c:formatCode>
                <c:ptCount val="4"/>
                <c:pt idx="0">
                  <c:v>0.43333333333333335</c:v>
                </c:pt>
                <c:pt idx="1">
                  <c:v>0.3</c:v>
                </c:pt>
                <c:pt idx="2">
                  <c:v>0.36666666666666664</c:v>
                </c:pt>
                <c:pt idx="3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98-44E6-B1F2-CA78159B156C}"/>
            </c:ext>
          </c:extLst>
        </c:ser>
        <c:ser>
          <c:idx val="2"/>
          <c:order val="2"/>
          <c:tx>
            <c:strRef>
              <c:f>'DIRECTOR MATEMATICA'!$E$7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MATEMATICA'!$B$8:$B$11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MATEMATICA'!$E$8:$E$11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98-44E6-B1F2-CA78159B156C}"/>
            </c:ext>
          </c:extLst>
        </c:ser>
        <c:ser>
          <c:idx val="3"/>
          <c:order val="3"/>
          <c:tx>
            <c:strRef>
              <c:f>'DIRECTOR MATEMATICA'!$F$7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MATEMATICA'!$B$8:$B$11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MATEMATICA'!$F$8:$F$11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98-44E6-B1F2-CA78159B1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2830847"/>
        <c:axId val="1362847903"/>
      </c:barChart>
      <c:catAx>
        <c:axId val="1362830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62847903"/>
        <c:crosses val="autoZero"/>
        <c:auto val="1"/>
        <c:lblAlgn val="ctr"/>
        <c:lblOffset val="100"/>
        <c:noMultiLvlLbl val="0"/>
      </c:catAx>
      <c:valAx>
        <c:axId val="136284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62830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Gráfico3"/>
  <sheetViews>
    <sheetView zoomScale="90" workbookViewId="0"/>
  </sheetViews>
  <sheetProtection algorithmName="SHA-512" hashValue="Y2zx5QzlD25JsTd83pujPCOoP/0A7SkvvXIPfBakWaURtQu8nlVGLhx9hTFtI+deEa5cR73yYjzxex9big15zQ==" saltValue="Kef6E13nr/jy9fTi4PMYvQ==" spinCount="100000" content="1" objects="1"/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533400</xdr:colOff>
          <xdr:row>6</xdr:row>
          <xdr:rowOff>152400</xdr:rowOff>
        </xdr:from>
        <xdr:to>
          <xdr:col>44</xdr:col>
          <xdr:colOff>152400</xdr:colOff>
          <xdr:row>12</xdr:row>
          <xdr:rowOff>914400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10312" tIns="214884" rIns="210312" bIns="214884" anchor="ctr" upright="1"/>
            <a:lstStyle/>
            <a:p>
              <a:pPr algn="ctr" rtl="0">
                <a:defRPr sz="1000"/>
              </a:pPr>
              <a:r>
                <a:rPr lang="es-PE" sz="10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ELIMINAR DATOS DEL REGISTRO</a:t>
              </a:r>
            </a:p>
            <a:p>
              <a:pPr algn="ctr" rtl="0">
                <a:defRPr sz="1000"/>
              </a:pPr>
              <a:endParaRPr lang="es-PE" sz="10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125730</xdr:rowOff>
    </xdr:from>
    <xdr:to>
      <xdr:col>39</xdr:col>
      <xdr:colOff>335280</xdr:colOff>
      <xdr:row>98</xdr:row>
      <xdr:rowOff>91440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220980</xdr:colOff>
          <xdr:row>10</xdr:row>
          <xdr:rowOff>0</xdr:rowOff>
        </xdr:from>
        <xdr:to>
          <xdr:col>59</xdr:col>
          <xdr:colOff>441960</xdr:colOff>
          <xdr:row>18</xdr:row>
          <xdr:rowOff>60960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73736" rIns="164592" bIns="173736" anchor="ctr" upright="1"/>
            <a:lstStyle/>
            <a:p>
              <a:pPr algn="ctr" rtl="0">
                <a:defRPr sz="1000"/>
              </a:pPr>
              <a:r>
                <a:rPr lang="es-PE" sz="8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DATOS</a:t>
              </a:r>
            </a:p>
            <a:p>
              <a:pPr algn="ctr" rtl="0">
                <a:defRPr sz="1000"/>
              </a:pPr>
              <a:endParaRPr lang="es-PE" sz="8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907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12</xdr:row>
      <xdr:rowOff>22860</xdr:rowOff>
    </xdr:from>
    <xdr:to>
      <xdr:col>6</xdr:col>
      <xdr:colOff>45720</xdr:colOff>
      <xdr:row>27</xdr:row>
      <xdr:rowOff>22860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2816615-26B2-34A8-93D2-3ECA727083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82" displayName="Tabla82" ref="E63:AB64" insertRow="1" totalsRowShown="0" headerRowDxfId="62" dataDxfId="60" headerRowBorderDxfId="61" tableBorderDxfId="59" totalsRowBorderDxfId="58" headerRowCellStyle="Estilo 2">
  <autoFilter ref="E63:AB64" xr:uid="{00000000-0009-0000-0100-000001000000}"/>
  <tableColumns count="24">
    <tableColumn id="1" xr3:uid="{00000000-0010-0000-0000-000001000000}" name="Columna1" dataDxfId="57"/>
    <tableColumn id="2" xr3:uid="{00000000-0010-0000-0000-000002000000}" name="Columna2" dataDxfId="56"/>
    <tableColumn id="3" xr3:uid="{00000000-0010-0000-0000-000003000000}" name="Columna3" dataDxfId="55"/>
    <tableColumn id="4" xr3:uid="{00000000-0010-0000-0000-000004000000}" name="Columna4" dataDxfId="54"/>
    <tableColumn id="5" xr3:uid="{00000000-0010-0000-0000-000005000000}" name="Columna5" dataDxfId="53"/>
    <tableColumn id="6" xr3:uid="{00000000-0010-0000-0000-000006000000}" name="Columna6" dataDxfId="52"/>
    <tableColumn id="7" xr3:uid="{00000000-0010-0000-0000-000007000000}" name="Columna7" dataDxfId="51"/>
    <tableColumn id="8" xr3:uid="{00000000-0010-0000-0000-000008000000}" name="Columna8" dataDxfId="50"/>
    <tableColumn id="9" xr3:uid="{00000000-0010-0000-0000-000009000000}" name="Columna9" dataDxfId="49"/>
    <tableColumn id="10" xr3:uid="{00000000-0010-0000-0000-00000A000000}" name="Columna10" dataDxfId="48"/>
    <tableColumn id="11" xr3:uid="{00000000-0010-0000-0000-00000B000000}" name="Columna11" dataDxfId="47"/>
    <tableColumn id="12" xr3:uid="{00000000-0010-0000-0000-00000C000000}" name="Columna12" dataDxfId="46"/>
    <tableColumn id="13" xr3:uid="{00000000-0010-0000-0000-00000D000000}" name="Columna13" dataDxfId="45"/>
    <tableColumn id="14" xr3:uid="{00000000-0010-0000-0000-00000E000000}" name="Columna14" dataDxfId="44"/>
    <tableColumn id="15" xr3:uid="{00000000-0010-0000-0000-00000F000000}" name="Columna15" dataDxfId="43"/>
    <tableColumn id="16" xr3:uid="{00000000-0010-0000-0000-000010000000}" name="Columna16" dataDxfId="42"/>
    <tableColumn id="17" xr3:uid="{00000000-0010-0000-0000-000011000000}" name="Columna17" dataDxfId="41"/>
    <tableColumn id="18" xr3:uid="{00000000-0010-0000-0000-000012000000}" name="Columna18" dataDxfId="40"/>
    <tableColumn id="19" xr3:uid="{00000000-0010-0000-0000-000013000000}" name="Columna19" dataDxfId="39"/>
    <tableColumn id="20" xr3:uid="{00000000-0010-0000-0000-000014000000}" name="Columna20" dataDxfId="38"/>
    <tableColumn id="21" xr3:uid="{00000000-0010-0000-0000-000015000000}" name="Columna21" dataDxfId="37"/>
    <tableColumn id="22" xr3:uid="{00000000-0010-0000-0000-000016000000}" name="Columna22" dataDxfId="36"/>
    <tableColumn id="23" xr3:uid="{00000000-0010-0000-0000-000017000000}" name="Columna23" dataDxfId="35"/>
    <tableColumn id="24" xr3:uid="{00000000-0010-0000-0000-000018000000}" name="Columna24" dataDxfId="34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Z119"/>
  <sheetViews>
    <sheetView topLeftCell="D1" zoomScale="30" zoomScaleNormal="30" workbookViewId="0">
      <selection activeCell="O7" sqref="O7:P7"/>
    </sheetView>
  </sheetViews>
  <sheetFormatPr baseColWidth="10" defaultColWidth="11.5546875" defaultRowHeight="14.4" x14ac:dyDescent="0.3"/>
  <cols>
    <col min="1" max="1" width="26.77734375" style="1" customWidth="1"/>
    <col min="2" max="2" width="103.5546875" style="1" customWidth="1"/>
    <col min="3" max="3" width="53.33203125" style="1" customWidth="1"/>
    <col min="4" max="11" width="23.6640625" style="1" customWidth="1"/>
    <col min="12" max="13" width="23.109375" style="1" customWidth="1"/>
    <col min="14" max="28" width="25.5546875" style="1" customWidth="1"/>
    <col min="29" max="30" width="11.5546875" style="1"/>
    <col min="31" max="31" width="21.77734375" style="1" customWidth="1"/>
    <col min="32" max="32" width="55" style="1" customWidth="1"/>
    <col min="33" max="33" width="33.88671875" style="1" customWidth="1"/>
    <col min="34" max="34" width="11.5546875" style="1"/>
    <col min="35" max="35" width="15.5546875" style="1" customWidth="1"/>
    <col min="36" max="36" width="35" style="1" customWidth="1"/>
    <col min="37" max="37" width="11.5546875" style="1" customWidth="1"/>
    <col min="38" max="38" width="11.5546875" style="1"/>
    <col min="39" max="39" width="25.33203125" style="1" customWidth="1"/>
    <col min="40" max="40" width="9" style="1" hidden="1" customWidth="1"/>
    <col min="41" max="41" width="42.88671875" style="1" customWidth="1"/>
    <col min="42" max="43" width="11.5546875" style="1"/>
    <col min="44" max="44" width="20.6640625" style="1" customWidth="1"/>
    <col min="45" max="45" width="11.5546875" style="1"/>
    <col min="46" max="46" width="11.5546875" style="1" hidden="1" customWidth="1"/>
    <col min="47" max="51" width="11.5546875" style="1"/>
    <col min="52" max="52" width="0" style="1" hidden="1" customWidth="1"/>
    <col min="53" max="16384" width="11.5546875" style="1"/>
  </cols>
  <sheetData>
    <row r="1" spans="1:46" x14ac:dyDescent="0.3">
      <c r="AB1" s="243">
        <f>AC8</f>
        <v>28</v>
      </c>
      <c r="AC1" s="243"/>
      <c r="AD1" s="243"/>
    </row>
    <row r="2" spans="1:46" x14ac:dyDescent="0.3">
      <c r="AB2" s="243"/>
      <c r="AC2" s="243"/>
      <c r="AD2" s="243"/>
    </row>
    <row r="3" spans="1:46" x14ac:dyDescent="0.3">
      <c r="AB3" s="243"/>
      <c r="AC3" s="243"/>
      <c r="AD3" s="243"/>
    </row>
    <row r="4" spans="1:46" x14ac:dyDescent="0.3">
      <c r="AB4" s="243"/>
      <c r="AC4" s="243"/>
      <c r="AD4" s="243"/>
    </row>
    <row r="5" spans="1:46" x14ac:dyDescent="0.3">
      <c r="AB5" s="243"/>
      <c r="AC5" s="243"/>
      <c r="AD5" s="243"/>
    </row>
    <row r="6" spans="1:46" ht="36.6" customHeight="1" x14ac:dyDescent="0.3">
      <c r="A6" s="244" t="s">
        <v>1</v>
      </c>
      <c r="B6" s="244"/>
      <c r="C6" s="244"/>
      <c r="D6" s="244"/>
      <c r="E6" s="244"/>
      <c r="F6" s="244"/>
      <c r="G6" s="244"/>
      <c r="H6" s="244"/>
      <c r="I6" s="244"/>
      <c r="J6" s="244"/>
      <c r="K6" s="233" t="s">
        <v>52</v>
      </c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"/>
      <c r="AB6" s="243"/>
      <c r="AC6" s="243"/>
      <c r="AD6" s="243"/>
      <c r="AF6" s="3"/>
      <c r="AG6" s="3"/>
    </row>
    <row r="7" spans="1:46" ht="91.8" x14ac:dyDescent="1.65">
      <c r="A7" s="4"/>
      <c r="B7" s="4"/>
      <c r="C7" s="4"/>
      <c r="D7" s="5"/>
      <c r="E7" s="5"/>
      <c r="F7" s="5"/>
      <c r="G7" s="5"/>
      <c r="H7" s="5"/>
      <c r="I7" s="5"/>
      <c r="J7" s="5"/>
      <c r="K7" s="5"/>
      <c r="L7" s="5"/>
      <c r="M7" s="245" t="s">
        <v>175</v>
      </c>
      <c r="N7" s="245"/>
      <c r="O7" s="246" t="s">
        <v>179</v>
      </c>
      <c r="P7" s="246"/>
      <c r="Q7" s="5"/>
      <c r="R7" s="5"/>
      <c r="S7" s="5"/>
      <c r="T7" s="5"/>
      <c r="U7" s="5"/>
      <c r="V7" s="5"/>
      <c r="W7" s="5"/>
      <c r="X7" s="5"/>
      <c r="Y7" s="6"/>
      <c r="Z7" s="7"/>
      <c r="AA7" s="7"/>
      <c r="AB7" s="6"/>
      <c r="AC7" s="6"/>
      <c r="AD7" s="5"/>
      <c r="AE7" s="5"/>
      <c r="AF7" s="5"/>
      <c r="AG7" s="5"/>
    </row>
    <row r="8" spans="1:46" ht="55.2" customHeight="1" x14ac:dyDescent="0.7">
      <c r="A8" s="4"/>
      <c r="B8" s="63" t="s">
        <v>2</v>
      </c>
      <c r="C8" s="234"/>
      <c r="D8" s="235"/>
      <c r="E8" s="235"/>
      <c r="F8" s="235"/>
      <c r="G8" s="235"/>
      <c r="H8" s="235"/>
      <c r="I8" s="235"/>
      <c r="J8" s="235"/>
      <c r="K8" s="236"/>
      <c r="L8" s="8"/>
      <c r="M8" s="245" t="s">
        <v>176</v>
      </c>
      <c r="N8" s="245"/>
      <c r="O8" s="246" t="s">
        <v>122</v>
      </c>
      <c r="P8" s="246"/>
      <c r="Q8" s="3"/>
      <c r="R8" s="9"/>
      <c r="S8" s="237" t="s">
        <v>4</v>
      </c>
      <c r="T8" s="238"/>
      <c r="U8" s="239"/>
      <c r="V8" s="234"/>
      <c r="W8" s="235"/>
      <c r="X8" s="236"/>
      <c r="Z8" s="237" t="s">
        <v>5</v>
      </c>
      <c r="AA8" s="238"/>
      <c r="AB8" s="239"/>
      <c r="AC8" s="209">
        <f>COUNTIF(C14:C53,"PRESENTE")</f>
        <v>28</v>
      </c>
      <c r="AD8" s="210"/>
    </row>
    <row r="9" spans="1:46" ht="36.6" x14ac:dyDescent="0.7">
      <c r="A9" s="4"/>
      <c r="B9" s="63" t="s">
        <v>6</v>
      </c>
      <c r="C9" s="234"/>
      <c r="D9" s="235"/>
      <c r="E9" s="235"/>
      <c r="F9" s="235"/>
      <c r="G9" s="235"/>
      <c r="H9" s="235"/>
      <c r="I9" s="235"/>
      <c r="J9" s="235"/>
      <c r="K9" s="236"/>
      <c r="L9" s="8"/>
      <c r="M9" s="245"/>
      <c r="N9" s="245"/>
      <c r="O9" s="246"/>
      <c r="P9" s="246"/>
      <c r="Q9" s="3"/>
      <c r="R9" s="9"/>
      <c r="S9" s="237" t="s">
        <v>7</v>
      </c>
      <c r="T9" s="238"/>
      <c r="U9" s="239"/>
      <c r="V9" s="240"/>
      <c r="W9" s="241"/>
      <c r="X9" s="242"/>
      <c r="Z9" s="237" t="s">
        <v>8</v>
      </c>
      <c r="AA9" s="238"/>
      <c r="AB9" s="239"/>
      <c r="AC9" s="209">
        <f>COUNTIF(C14:C53,"AUSENTE")</f>
        <v>2</v>
      </c>
      <c r="AD9" s="210"/>
    </row>
    <row r="10" spans="1:46" ht="12" customHeight="1" thickBot="1" x14ac:dyDescent="0.35">
      <c r="A10" s="10"/>
      <c r="B10" s="11"/>
      <c r="C10" s="11"/>
      <c r="D10" s="232"/>
      <c r="E10" s="232"/>
      <c r="F10" s="232"/>
      <c r="G10" s="232"/>
      <c r="H10" s="232"/>
      <c r="I10" s="232"/>
      <c r="J10" s="232"/>
      <c r="K10" s="232"/>
      <c r="L10" s="232"/>
      <c r="M10" s="232"/>
      <c r="N10" s="232"/>
      <c r="O10" s="232"/>
      <c r="P10" s="232"/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12"/>
      <c r="AD10" s="12"/>
      <c r="AE10" s="12"/>
      <c r="AF10" s="12"/>
      <c r="AG10" s="12"/>
    </row>
    <row r="11" spans="1:46" ht="129.6" customHeight="1" thickTop="1" thickBot="1" x14ac:dyDescent="0.35">
      <c r="A11" s="148" t="s">
        <v>9</v>
      </c>
      <c r="B11" s="149" t="s">
        <v>10</v>
      </c>
      <c r="C11" s="160"/>
      <c r="D11" s="229" t="s">
        <v>39</v>
      </c>
      <c r="E11" s="230"/>
      <c r="F11" s="230"/>
      <c r="G11" s="231"/>
      <c r="H11" s="229" t="s">
        <v>40</v>
      </c>
      <c r="I11" s="230"/>
      <c r="J11" s="230"/>
      <c r="K11" s="230"/>
      <c r="L11" s="231"/>
      <c r="M11" s="229" t="s">
        <v>41</v>
      </c>
      <c r="N11" s="230"/>
      <c r="O11" s="230"/>
      <c r="P11" s="230"/>
      <c r="Q11" s="230"/>
      <c r="R11" s="231"/>
      <c r="S11" s="229" t="s">
        <v>42</v>
      </c>
      <c r="T11" s="230"/>
      <c r="U11" s="230"/>
      <c r="V11" s="230"/>
      <c r="W11" s="231"/>
      <c r="X11" s="229" t="s">
        <v>49</v>
      </c>
      <c r="Y11" s="230"/>
      <c r="Z11" s="230"/>
      <c r="AA11" s="230"/>
      <c r="AB11" s="231"/>
      <c r="AC11" s="215" t="s">
        <v>11</v>
      </c>
      <c r="AD11" s="216"/>
      <c r="AE11" s="217"/>
      <c r="AF11" s="218" t="s">
        <v>104</v>
      </c>
      <c r="AG11" s="219" t="s">
        <v>109</v>
      </c>
    </row>
    <row r="12" spans="1:46" ht="138.6" customHeight="1" thickTop="1" thickBot="1" x14ac:dyDescent="0.35">
      <c r="A12" s="224" t="s">
        <v>51</v>
      </c>
      <c r="B12" s="225"/>
      <c r="C12" s="226"/>
      <c r="D12" s="133" t="s">
        <v>43</v>
      </c>
      <c r="E12" s="134" t="s">
        <v>44</v>
      </c>
      <c r="F12" s="134" t="s">
        <v>45</v>
      </c>
      <c r="G12" s="135" t="s">
        <v>46</v>
      </c>
      <c r="H12" s="133" t="s">
        <v>43</v>
      </c>
      <c r="I12" s="134" t="s">
        <v>44</v>
      </c>
      <c r="J12" s="134" t="s">
        <v>45</v>
      </c>
      <c r="K12" s="134" t="s">
        <v>46</v>
      </c>
      <c r="L12" s="135" t="s">
        <v>48</v>
      </c>
      <c r="M12" s="136" t="s">
        <v>43</v>
      </c>
      <c r="N12" s="134" t="s">
        <v>44</v>
      </c>
      <c r="O12" s="134" t="s">
        <v>45</v>
      </c>
      <c r="P12" s="134" t="s">
        <v>46</v>
      </c>
      <c r="Q12" s="134" t="s">
        <v>48</v>
      </c>
      <c r="R12" s="135" t="s">
        <v>47</v>
      </c>
      <c r="S12" s="133" t="s">
        <v>43</v>
      </c>
      <c r="T12" s="134" t="s">
        <v>44</v>
      </c>
      <c r="U12" s="134" t="s">
        <v>45</v>
      </c>
      <c r="V12" s="134" t="s">
        <v>46</v>
      </c>
      <c r="W12" s="135" t="s">
        <v>48</v>
      </c>
      <c r="X12" s="133" t="s">
        <v>43</v>
      </c>
      <c r="Y12" s="134" t="s">
        <v>44</v>
      </c>
      <c r="Z12" s="134" t="s">
        <v>45</v>
      </c>
      <c r="AA12" s="134" t="s">
        <v>46</v>
      </c>
      <c r="AB12" s="135" t="s">
        <v>48</v>
      </c>
      <c r="AC12" s="213" t="s">
        <v>56</v>
      </c>
      <c r="AD12" s="211" t="s">
        <v>57</v>
      </c>
      <c r="AE12" s="211" t="s">
        <v>58</v>
      </c>
      <c r="AF12" s="218"/>
      <c r="AG12" s="219"/>
    </row>
    <row r="13" spans="1:46" ht="82.2" customHeight="1" thickTop="1" thickBot="1" x14ac:dyDescent="0.65">
      <c r="A13" s="29" t="s">
        <v>12</v>
      </c>
      <c r="B13" s="30" t="s">
        <v>13</v>
      </c>
      <c r="C13" s="48" t="s">
        <v>50</v>
      </c>
      <c r="D13" s="45" t="s">
        <v>14</v>
      </c>
      <c r="E13" s="46" t="s">
        <v>15</v>
      </c>
      <c r="F13" s="46" t="s">
        <v>16</v>
      </c>
      <c r="G13" s="47" t="s">
        <v>17</v>
      </c>
      <c r="H13" s="45" t="s">
        <v>18</v>
      </c>
      <c r="I13" s="46" t="s">
        <v>19</v>
      </c>
      <c r="J13" s="46" t="s">
        <v>20</v>
      </c>
      <c r="K13" s="46" t="s">
        <v>21</v>
      </c>
      <c r="L13" s="47" t="s">
        <v>22</v>
      </c>
      <c r="M13" s="45" t="s">
        <v>23</v>
      </c>
      <c r="N13" s="46" t="s">
        <v>24</v>
      </c>
      <c r="O13" s="46" t="s">
        <v>25</v>
      </c>
      <c r="P13" s="46" t="s">
        <v>26</v>
      </c>
      <c r="Q13" s="46" t="s">
        <v>27</v>
      </c>
      <c r="R13" s="47" t="s">
        <v>28</v>
      </c>
      <c r="S13" s="45" t="s">
        <v>29</v>
      </c>
      <c r="T13" s="46" t="s">
        <v>30</v>
      </c>
      <c r="U13" s="46" t="s">
        <v>31</v>
      </c>
      <c r="V13" s="46" t="s">
        <v>32</v>
      </c>
      <c r="W13" s="47" t="s">
        <v>33</v>
      </c>
      <c r="X13" s="161" t="s">
        <v>34</v>
      </c>
      <c r="Y13" s="162" t="s">
        <v>35</v>
      </c>
      <c r="Z13" s="162" t="s">
        <v>36</v>
      </c>
      <c r="AA13" s="162" t="s">
        <v>37</v>
      </c>
      <c r="AB13" s="163" t="s">
        <v>38</v>
      </c>
      <c r="AC13" s="214"/>
      <c r="AD13" s="212"/>
      <c r="AE13" s="212"/>
      <c r="AF13" s="218"/>
      <c r="AG13" s="219"/>
      <c r="AT13" s="13" t="s">
        <v>94</v>
      </c>
    </row>
    <row r="14" spans="1:46" ht="62.4" customHeight="1" thickTop="1" thickBot="1" x14ac:dyDescent="0.65">
      <c r="A14" s="36">
        <v>1</v>
      </c>
      <c r="B14" s="14" t="s">
        <v>146</v>
      </c>
      <c r="C14" s="86" t="s">
        <v>94</v>
      </c>
      <c r="D14" s="174" t="s">
        <v>54</v>
      </c>
      <c r="E14" s="175" t="s">
        <v>54</v>
      </c>
      <c r="F14" s="175" t="s">
        <v>53</v>
      </c>
      <c r="G14" s="176" t="s">
        <v>53</v>
      </c>
      <c r="H14" s="179" t="s">
        <v>53</v>
      </c>
      <c r="I14" s="177" t="s">
        <v>53</v>
      </c>
      <c r="J14" s="177" t="s">
        <v>54</v>
      </c>
      <c r="K14" s="177" t="s">
        <v>53</v>
      </c>
      <c r="L14" s="178" t="s">
        <v>53</v>
      </c>
      <c r="M14" s="179" t="s">
        <v>54</v>
      </c>
      <c r="N14" s="177" t="s">
        <v>54</v>
      </c>
      <c r="O14" s="177" t="s">
        <v>53</v>
      </c>
      <c r="P14" s="177" t="s">
        <v>53</v>
      </c>
      <c r="Q14" s="177" t="s">
        <v>53</v>
      </c>
      <c r="R14" s="177" t="s">
        <v>53</v>
      </c>
      <c r="S14" s="179" t="s">
        <v>54</v>
      </c>
      <c r="T14" s="177" t="s">
        <v>53</v>
      </c>
      <c r="U14" s="177" t="s">
        <v>53</v>
      </c>
      <c r="V14" s="177" t="s">
        <v>53</v>
      </c>
      <c r="W14" s="178" t="s">
        <v>54</v>
      </c>
      <c r="X14" s="179" t="s">
        <v>54</v>
      </c>
      <c r="Y14" s="177" t="s">
        <v>53</v>
      </c>
      <c r="Z14" s="177" t="s">
        <v>53</v>
      </c>
      <c r="AA14" s="177" t="s">
        <v>53</v>
      </c>
      <c r="AB14" s="178" t="s">
        <v>53</v>
      </c>
      <c r="AC14" s="58">
        <f>IF(C14="PRESENTE",COUNTIF(D14:AB14,"✔️"),"")</f>
        <v>17</v>
      </c>
      <c r="AD14" s="59">
        <f>IF(C14="PRESENTE",COUNTIF(D14:AB14,"❌"),"")</f>
        <v>8</v>
      </c>
      <c r="AE14" s="156">
        <f>IF(C14="PRESENTE",COUNTIF(D14:AB14,"➖"),"")</f>
        <v>0</v>
      </c>
      <c r="AF14" s="158" t="str">
        <f>IF(AC14&gt;16,"S",IF(AC14&gt;13,"P",IF(AC14&gt;10,"I","PI")))</f>
        <v>S</v>
      </c>
      <c r="AG14" s="159">
        <f>AC14/25</f>
        <v>0.68</v>
      </c>
      <c r="AH14" s="144"/>
      <c r="AI14" s="138"/>
      <c r="AK14" s="138"/>
      <c r="AN14" s="1" t="s">
        <v>53</v>
      </c>
      <c r="AT14" s="13" t="s">
        <v>95</v>
      </c>
    </row>
    <row r="15" spans="1:46" ht="62.4" thickTop="1" thickBot="1" x14ac:dyDescent="0.7">
      <c r="A15" s="142">
        <v>2</v>
      </c>
      <c r="B15" s="16" t="s">
        <v>147</v>
      </c>
      <c r="C15" s="86" t="s">
        <v>94</v>
      </c>
      <c r="D15" s="174" t="s">
        <v>54</v>
      </c>
      <c r="E15" s="175" t="s">
        <v>54</v>
      </c>
      <c r="F15" s="175" t="s">
        <v>53</v>
      </c>
      <c r="G15" s="176" t="s">
        <v>55</v>
      </c>
      <c r="H15" s="179" t="s">
        <v>53</v>
      </c>
      <c r="I15" s="177" t="s">
        <v>53</v>
      </c>
      <c r="J15" s="177" t="s">
        <v>54</v>
      </c>
      <c r="K15" s="177" t="s">
        <v>53</v>
      </c>
      <c r="L15" s="178" t="s">
        <v>53</v>
      </c>
      <c r="M15" s="179" t="s">
        <v>54</v>
      </c>
      <c r="N15" s="177" t="s">
        <v>54</v>
      </c>
      <c r="O15" s="177" t="s">
        <v>53</v>
      </c>
      <c r="P15" s="177" t="s">
        <v>55</v>
      </c>
      <c r="Q15" s="177" t="s">
        <v>53</v>
      </c>
      <c r="R15" s="177" t="s">
        <v>55</v>
      </c>
      <c r="S15" s="179" t="s">
        <v>54</v>
      </c>
      <c r="T15" s="177" t="s">
        <v>53</v>
      </c>
      <c r="U15" s="177" t="s">
        <v>53</v>
      </c>
      <c r="V15" s="177" t="s">
        <v>53</v>
      </c>
      <c r="W15" s="178" t="s">
        <v>54</v>
      </c>
      <c r="X15" s="179" t="s">
        <v>54</v>
      </c>
      <c r="Y15" s="177" t="s">
        <v>53</v>
      </c>
      <c r="Z15" s="177" t="s">
        <v>53</v>
      </c>
      <c r="AA15" s="177" t="s">
        <v>53</v>
      </c>
      <c r="AB15" s="178" t="s">
        <v>53</v>
      </c>
      <c r="AC15" s="164">
        <f>IF(C15="PRESENTE",COUNTIF(D15:AB15,"✔️"),"")</f>
        <v>14</v>
      </c>
      <c r="AD15" s="29">
        <f>IF(C15="PRESENTE",COUNTIF(D15:AB15,"❌"),"")</f>
        <v>8</v>
      </c>
      <c r="AE15" s="139">
        <f>IF(C15="PRESENTE",COUNTIF(D15:AB15,"➖"),"")</f>
        <v>3</v>
      </c>
      <c r="AF15" s="158" t="str">
        <f t="shared" ref="AF15:AF53" si="0">IF(AC15&gt;16,"S",IF(AC15&gt;13,"P",IF(AC15&gt;10,"I","PI")))</f>
        <v>P</v>
      </c>
      <c r="AG15" s="159">
        <f t="shared" ref="AG15:AG53" si="1">AC15/25</f>
        <v>0.56000000000000005</v>
      </c>
      <c r="AN15" s="1" t="s">
        <v>54</v>
      </c>
    </row>
    <row r="16" spans="1:46" ht="62.4" thickTop="1" thickBot="1" x14ac:dyDescent="0.6">
      <c r="A16" s="36">
        <v>3</v>
      </c>
      <c r="B16" s="14" t="s">
        <v>148</v>
      </c>
      <c r="C16" s="86" t="s">
        <v>94</v>
      </c>
      <c r="D16" s="174" t="s">
        <v>54</v>
      </c>
      <c r="E16" s="175" t="s">
        <v>54</v>
      </c>
      <c r="F16" s="175" t="s">
        <v>54</v>
      </c>
      <c r="G16" s="176" t="s">
        <v>53</v>
      </c>
      <c r="H16" s="179" t="s">
        <v>54</v>
      </c>
      <c r="I16" s="177" t="s">
        <v>53</v>
      </c>
      <c r="J16" s="177" t="s">
        <v>54</v>
      </c>
      <c r="K16" s="177" t="s">
        <v>53</v>
      </c>
      <c r="L16" s="178" t="s">
        <v>54</v>
      </c>
      <c r="M16" s="179" t="s">
        <v>54</v>
      </c>
      <c r="N16" s="177" t="s">
        <v>54</v>
      </c>
      <c r="O16" s="177" t="s">
        <v>54</v>
      </c>
      <c r="P16" s="177" t="s">
        <v>53</v>
      </c>
      <c r="Q16" s="177" t="s">
        <v>53</v>
      </c>
      <c r="R16" s="177" t="s">
        <v>53</v>
      </c>
      <c r="S16" s="179" t="s">
        <v>54</v>
      </c>
      <c r="T16" s="177" t="s">
        <v>53</v>
      </c>
      <c r="U16" s="177" t="s">
        <v>53</v>
      </c>
      <c r="V16" s="177" t="s">
        <v>53</v>
      </c>
      <c r="W16" s="178" t="s">
        <v>54</v>
      </c>
      <c r="X16" s="179" t="s">
        <v>54</v>
      </c>
      <c r="Y16" s="177" t="s">
        <v>53</v>
      </c>
      <c r="Z16" s="177" t="s">
        <v>53</v>
      </c>
      <c r="AA16" s="177" t="s">
        <v>53</v>
      </c>
      <c r="AB16" s="178" t="s">
        <v>53</v>
      </c>
      <c r="AC16" s="44">
        <f t="shared" ref="AC16:AC53" si="2">IF(C16="PRESENTE",COUNTIF(D16:AB16,"✔️"),"")</f>
        <v>13</v>
      </c>
      <c r="AD16" s="31">
        <f t="shared" ref="AD16:AD53" si="3">IF(C16="PRESENTE",COUNTIF(D16:AB16,"❌"),"")</f>
        <v>12</v>
      </c>
      <c r="AE16" s="64">
        <f t="shared" ref="AE16:AE53" si="4">IF(C16="PRESENTE",COUNTIF(D16:AB16,"➖"),"")</f>
        <v>0</v>
      </c>
      <c r="AF16" s="158" t="str">
        <f t="shared" si="0"/>
        <v>I</v>
      </c>
      <c r="AG16" s="159">
        <f t="shared" si="1"/>
        <v>0.52</v>
      </c>
      <c r="AN16" s="1" t="s">
        <v>55</v>
      </c>
    </row>
    <row r="17" spans="1:33" ht="62.4" thickTop="1" thickBot="1" x14ac:dyDescent="0.7">
      <c r="A17" s="142">
        <v>4</v>
      </c>
      <c r="B17" s="16" t="s">
        <v>149</v>
      </c>
      <c r="C17" s="86" t="s">
        <v>94</v>
      </c>
      <c r="D17" s="174" t="s">
        <v>54</v>
      </c>
      <c r="E17" s="175" t="s">
        <v>54</v>
      </c>
      <c r="F17" s="175" t="s">
        <v>53</v>
      </c>
      <c r="G17" s="176" t="s">
        <v>54</v>
      </c>
      <c r="H17" s="179" t="s">
        <v>53</v>
      </c>
      <c r="I17" s="177" t="s">
        <v>54</v>
      </c>
      <c r="J17" s="177" t="s">
        <v>54</v>
      </c>
      <c r="K17" s="177" t="s">
        <v>54</v>
      </c>
      <c r="L17" s="178" t="s">
        <v>53</v>
      </c>
      <c r="M17" s="179" t="s">
        <v>54</v>
      </c>
      <c r="N17" s="177" t="s">
        <v>54</v>
      </c>
      <c r="O17" s="177" t="s">
        <v>53</v>
      </c>
      <c r="P17" s="177" t="s">
        <v>53</v>
      </c>
      <c r="Q17" s="177" t="s">
        <v>53</v>
      </c>
      <c r="R17" s="177" t="s">
        <v>54</v>
      </c>
      <c r="S17" s="179" t="s">
        <v>54</v>
      </c>
      <c r="T17" s="177" t="s">
        <v>53</v>
      </c>
      <c r="U17" s="177" t="s">
        <v>53</v>
      </c>
      <c r="V17" s="177" t="s">
        <v>53</v>
      </c>
      <c r="W17" s="178" t="s">
        <v>54</v>
      </c>
      <c r="X17" s="179" t="s">
        <v>54</v>
      </c>
      <c r="Y17" s="177" t="s">
        <v>53</v>
      </c>
      <c r="Z17" s="177" t="s">
        <v>53</v>
      </c>
      <c r="AA17" s="177" t="s">
        <v>53</v>
      </c>
      <c r="AB17" s="178" t="s">
        <v>54</v>
      </c>
      <c r="AC17" s="164">
        <f t="shared" si="2"/>
        <v>12</v>
      </c>
      <c r="AD17" s="29">
        <f t="shared" si="3"/>
        <v>13</v>
      </c>
      <c r="AE17" s="139">
        <f t="shared" si="4"/>
        <v>0</v>
      </c>
      <c r="AF17" s="158" t="str">
        <f t="shared" si="0"/>
        <v>I</v>
      </c>
      <c r="AG17" s="159">
        <f t="shared" si="1"/>
        <v>0.48</v>
      </c>
    </row>
    <row r="18" spans="1:33" ht="62.4" thickTop="1" thickBot="1" x14ac:dyDescent="0.6">
      <c r="A18" s="36">
        <v>5</v>
      </c>
      <c r="B18" s="14" t="s">
        <v>150</v>
      </c>
      <c r="C18" s="86" t="s">
        <v>94</v>
      </c>
      <c r="D18" s="174" t="s">
        <v>53</v>
      </c>
      <c r="E18" s="166" t="s">
        <v>53</v>
      </c>
      <c r="F18" s="175" t="s">
        <v>54</v>
      </c>
      <c r="G18" s="176" t="s">
        <v>54</v>
      </c>
      <c r="H18" s="179" t="s">
        <v>54</v>
      </c>
      <c r="I18" s="177" t="s">
        <v>54</v>
      </c>
      <c r="J18" s="177" t="s">
        <v>53</v>
      </c>
      <c r="K18" s="177" t="s">
        <v>54</v>
      </c>
      <c r="L18" s="178" t="s">
        <v>54</v>
      </c>
      <c r="M18" s="179" t="s">
        <v>53</v>
      </c>
      <c r="N18" s="177" t="s">
        <v>53</v>
      </c>
      <c r="O18" s="177" t="s">
        <v>54</v>
      </c>
      <c r="P18" s="177" t="s">
        <v>54</v>
      </c>
      <c r="Q18" s="177" t="s">
        <v>54</v>
      </c>
      <c r="R18" s="177" t="s">
        <v>54</v>
      </c>
      <c r="S18" s="179" t="s">
        <v>53</v>
      </c>
      <c r="T18" s="177" t="s">
        <v>54</v>
      </c>
      <c r="U18" s="177" t="s">
        <v>54</v>
      </c>
      <c r="V18" s="177" t="s">
        <v>54</v>
      </c>
      <c r="W18" s="178" t="s">
        <v>53</v>
      </c>
      <c r="X18" s="179" t="s">
        <v>53</v>
      </c>
      <c r="Y18" s="177" t="s">
        <v>54</v>
      </c>
      <c r="Z18" s="177" t="s">
        <v>54</v>
      </c>
      <c r="AA18" s="177" t="s">
        <v>54</v>
      </c>
      <c r="AB18" s="177" t="s">
        <v>54</v>
      </c>
      <c r="AC18" s="44">
        <f t="shared" si="2"/>
        <v>8</v>
      </c>
      <c r="AD18" s="31">
        <f t="shared" si="3"/>
        <v>17</v>
      </c>
      <c r="AE18" s="64">
        <f t="shared" si="4"/>
        <v>0</v>
      </c>
      <c r="AF18" s="158" t="str">
        <f t="shared" si="0"/>
        <v>PI</v>
      </c>
      <c r="AG18" s="159">
        <f t="shared" si="1"/>
        <v>0.32</v>
      </c>
    </row>
    <row r="19" spans="1:33" ht="62.4" thickTop="1" thickBot="1" x14ac:dyDescent="0.7">
      <c r="A19" s="142">
        <v>6</v>
      </c>
      <c r="B19" s="16" t="s">
        <v>151</v>
      </c>
      <c r="C19" s="86" t="s">
        <v>94</v>
      </c>
      <c r="D19" s="174" t="s">
        <v>53</v>
      </c>
      <c r="E19" s="166" t="s">
        <v>53</v>
      </c>
      <c r="F19" s="175" t="s">
        <v>54</v>
      </c>
      <c r="G19" s="176" t="s">
        <v>53</v>
      </c>
      <c r="H19" s="179" t="s">
        <v>54</v>
      </c>
      <c r="I19" s="177" t="s">
        <v>54</v>
      </c>
      <c r="J19" s="177" t="s">
        <v>53</v>
      </c>
      <c r="K19" s="177" t="s">
        <v>54</v>
      </c>
      <c r="L19" s="178" t="s">
        <v>54</v>
      </c>
      <c r="M19" s="179" t="s">
        <v>53</v>
      </c>
      <c r="N19" s="177" t="s">
        <v>53</v>
      </c>
      <c r="O19" s="177" t="s">
        <v>54</v>
      </c>
      <c r="P19" s="177" t="s">
        <v>54</v>
      </c>
      <c r="Q19" s="177" t="s">
        <v>54</v>
      </c>
      <c r="R19" s="177" t="s">
        <v>54</v>
      </c>
      <c r="S19" s="179" t="s">
        <v>53</v>
      </c>
      <c r="T19" s="177" t="s">
        <v>54</v>
      </c>
      <c r="U19" s="177" t="s">
        <v>53</v>
      </c>
      <c r="V19" s="177" t="s">
        <v>53</v>
      </c>
      <c r="W19" s="178" t="s">
        <v>53</v>
      </c>
      <c r="X19" s="179" t="s">
        <v>53</v>
      </c>
      <c r="Y19" s="177" t="s">
        <v>53</v>
      </c>
      <c r="Z19" s="177" t="s">
        <v>53</v>
      </c>
      <c r="AA19" s="177" t="s">
        <v>53</v>
      </c>
      <c r="AB19" s="178" t="s">
        <v>54</v>
      </c>
      <c r="AC19" s="164">
        <f t="shared" si="2"/>
        <v>14</v>
      </c>
      <c r="AD19" s="29">
        <f t="shared" si="3"/>
        <v>11</v>
      </c>
      <c r="AE19" s="139">
        <f t="shared" si="4"/>
        <v>0</v>
      </c>
      <c r="AF19" s="158" t="str">
        <f t="shared" si="0"/>
        <v>P</v>
      </c>
      <c r="AG19" s="159">
        <f t="shared" si="1"/>
        <v>0.56000000000000005</v>
      </c>
    </row>
    <row r="20" spans="1:33" ht="62.4" thickTop="1" thickBot="1" x14ac:dyDescent="0.6">
      <c r="A20" s="36">
        <v>7</v>
      </c>
      <c r="B20" s="14" t="s">
        <v>152</v>
      </c>
      <c r="C20" s="86" t="s">
        <v>95</v>
      </c>
      <c r="D20" s="174" t="s">
        <v>55</v>
      </c>
      <c r="E20" s="166" t="s">
        <v>55</v>
      </c>
      <c r="F20" s="175" t="s">
        <v>55</v>
      </c>
      <c r="G20" s="176" t="s">
        <v>55</v>
      </c>
      <c r="H20" s="179" t="s">
        <v>55</v>
      </c>
      <c r="I20" s="177" t="s">
        <v>55</v>
      </c>
      <c r="J20" s="177" t="s">
        <v>55</v>
      </c>
      <c r="K20" s="177" t="s">
        <v>55</v>
      </c>
      <c r="L20" s="178" t="s">
        <v>55</v>
      </c>
      <c r="M20" s="179" t="s">
        <v>55</v>
      </c>
      <c r="N20" s="177" t="s">
        <v>55</v>
      </c>
      <c r="O20" s="177" t="s">
        <v>55</v>
      </c>
      <c r="P20" s="177" t="s">
        <v>55</v>
      </c>
      <c r="Q20" s="177" t="s">
        <v>55</v>
      </c>
      <c r="R20" s="177" t="s">
        <v>55</v>
      </c>
      <c r="S20" s="179" t="s">
        <v>55</v>
      </c>
      <c r="T20" s="177" t="s">
        <v>55</v>
      </c>
      <c r="U20" s="177" t="s">
        <v>55</v>
      </c>
      <c r="V20" s="177" t="s">
        <v>55</v>
      </c>
      <c r="W20" s="178" t="s">
        <v>55</v>
      </c>
      <c r="X20" s="179" t="s">
        <v>55</v>
      </c>
      <c r="Y20" s="177" t="s">
        <v>55</v>
      </c>
      <c r="Z20" s="177" t="s">
        <v>55</v>
      </c>
      <c r="AA20" s="177" t="s">
        <v>55</v>
      </c>
      <c r="AB20" s="178" t="s">
        <v>55</v>
      </c>
      <c r="AC20" s="44" t="str">
        <f t="shared" si="2"/>
        <v/>
      </c>
      <c r="AD20" s="31" t="str">
        <f t="shared" si="3"/>
        <v/>
      </c>
      <c r="AE20" s="64" t="str">
        <f t="shared" si="4"/>
        <v/>
      </c>
      <c r="AF20" s="158" t="str">
        <f t="shared" si="0"/>
        <v>S</v>
      </c>
      <c r="AG20" s="159" t="e">
        <f t="shared" si="1"/>
        <v>#VALUE!</v>
      </c>
    </row>
    <row r="21" spans="1:33" ht="62.4" thickTop="1" thickBot="1" x14ac:dyDescent="0.7">
      <c r="A21" s="142">
        <v>8</v>
      </c>
      <c r="B21" s="16" t="s">
        <v>153</v>
      </c>
      <c r="C21" s="86" t="s">
        <v>94</v>
      </c>
      <c r="D21" s="174" t="s">
        <v>53</v>
      </c>
      <c r="E21" s="166" t="s">
        <v>53</v>
      </c>
      <c r="F21" s="175" t="s">
        <v>54</v>
      </c>
      <c r="G21" s="176" t="s">
        <v>54</v>
      </c>
      <c r="H21" s="179" t="s">
        <v>54</v>
      </c>
      <c r="I21" s="177" t="s">
        <v>54</v>
      </c>
      <c r="J21" s="177" t="s">
        <v>53</v>
      </c>
      <c r="K21" s="177" t="s">
        <v>54</v>
      </c>
      <c r="L21" s="178" t="s">
        <v>54</v>
      </c>
      <c r="M21" s="179" t="s">
        <v>53</v>
      </c>
      <c r="N21" s="177" t="s">
        <v>53</v>
      </c>
      <c r="O21" s="177" t="s">
        <v>54</v>
      </c>
      <c r="P21" s="177" t="s">
        <v>54</v>
      </c>
      <c r="Q21" s="177" t="s">
        <v>54</v>
      </c>
      <c r="R21" s="177" t="s">
        <v>54</v>
      </c>
      <c r="S21" s="179" t="s">
        <v>53</v>
      </c>
      <c r="T21" s="177" t="s">
        <v>54</v>
      </c>
      <c r="U21" s="177" t="s">
        <v>53</v>
      </c>
      <c r="V21" s="177" t="s">
        <v>54</v>
      </c>
      <c r="W21" s="178" t="s">
        <v>53</v>
      </c>
      <c r="X21" s="179" t="s">
        <v>53</v>
      </c>
      <c r="Y21" s="177" t="s">
        <v>54</v>
      </c>
      <c r="Z21" s="177" t="s">
        <v>54</v>
      </c>
      <c r="AA21" s="177" t="s">
        <v>54</v>
      </c>
      <c r="AB21" s="178" t="s">
        <v>54</v>
      </c>
      <c r="AC21" s="164">
        <f t="shared" si="2"/>
        <v>9</v>
      </c>
      <c r="AD21" s="29">
        <f t="shared" si="3"/>
        <v>16</v>
      </c>
      <c r="AE21" s="139">
        <f t="shared" si="4"/>
        <v>0</v>
      </c>
      <c r="AF21" s="158" t="str">
        <f t="shared" si="0"/>
        <v>PI</v>
      </c>
      <c r="AG21" s="159">
        <f t="shared" si="1"/>
        <v>0.36</v>
      </c>
    </row>
    <row r="22" spans="1:33" ht="62.4" thickTop="1" thickBot="1" x14ac:dyDescent="0.6">
      <c r="A22" s="36">
        <v>9</v>
      </c>
      <c r="B22" s="14" t="s">
        <v>154</v>
      </c>
      <c r="C22" s="86" t="s">
        <v>94</v>
      </c>
      <c r="D22" s="174" t="s">
        <v>53</v>
      </c>
      <c r="E22" s="166" t="s">
        <v>53</v>
      </c>
      <c r="F22" s="175" t="s">
        <v>54</v>
      </c>
      <c r="G22" s="176" t="s">
        <v>54</v>
      </c>
      <c r="H22" s="179" t="s">
        <v>54</v>
      </c>
      <c r="I22" s="177" t="s">
        <v>54</v>
      </c>
      <c r="J22" s="177" t="s">
        <v>53</v>
      </c>
      <c r="K22" s="177" t="s">
        <v>54</v>
      </c>
      <c r="L22" s="178" t="s">
        <v>54</v>
      </c>
      <c r="M22" s="179" t="s">
        <v>53</v>
      </c>
      <c r="N22" s="177" t="s">
        <v>53</v>
      </c>
      <c r="O22" s="177" t="s">
        <v>54</v>
      </c>
      <c r="P22" s="177" t="s">
        <v>54</v>
      </c>
      <c r="Q22" s="177" t="s">
        <v>54</v>
      </c>
      <c r="R22" s="177" t="s">
        <v>54</v>
      </c>
      <c r="S22" s="179" t="s">
        <v>53</v>
      </c>
      <c r="T22" s="177" t="s">
        <v>54</v>
      </c>
      <c r="U22" s="177" t="s">
        <v>53</v>
      </c>
      <c r="V22" s="177" t="s">
        <v>54</v>
      </c>
      <c r="W22" s="178" t="s">
        <v>53</v>
      </c>
      <c r="X22" s="179" t="s">
        <v>53</v>
      </c>
      <c r="Y22" s="177" t="s">
        <v>54</v>
      </c>
      <c r="Z22" s="177" t="s">
        <v>54</v>
      </c>
      <c r="AA22" s="177" t="s">
        <v>54</v>
      </c>
      <c r="AB22" s="178" t="s">
        <v>53</v>
      </c>
      <c r="AC22" s="44">
        <f t="shared" si="2"/>
        <v>10</v>
      </c>
      <c r="AD22" s="31">
        <f t="shared" si="3"/>
        <v>15</v>
      </c>
      <c r="AE22" s="64">
        <f t="shared" si="4"/>
        <v>0</v>
      </c>
      <c r="AF22" s="158" t="str">
        <f t="shared" si="0"/>
        <v>PI</v>
      </c>
      <c r="AG22" s="159">
        <f t="shared" si="1"/>
        <v>0.4</v>
      </c>
    </row>
    <row r="23" spans="1:33" ht="62.4" thickTop="1" thickBot="1" x14ac:dyDescent="0.7">
      <c r="A23" s="142">
        <v>10</v>
      </c>
      <c r="B23" s="16" t="s">
        <v>155</v>
      </c>
      <c r="C23" s="86" t="s">
        <v>94</v>
      </c>
      <c r="D23" s="174" t="s">
        <v>53</v>
      </c>
      <c r="E23" s="166" t="s">
        <v>53</v>
      </c>
      <c r="F23" s="175" t="s">
        <v>54</v>
      </c>
      <c r="G23" s="176" t="s">
        <v>54</v>
      </c>
      <c r="H23" s="179" t="s">
        <v>54</v>
      </c>
      <c r="I23" s="177" t="s">
        <v>54</v>
      </c>
      <c r="J23" s="177" t="s">
        <v>53</v>
      </c>
      <c r="K23" s="177" t="s">
        <v>54</v>
      </c>
      <c r="L23" s="178" t="s">
        <v>54</v>
      </c>
      <c r="M23" s="179" t="s">
        <v>53</v>
      </c>
      <c r="N23" s="177" t="s">
        <v>53</v>
      </c>
      <c r="O23" s="177" t="s">
        <v>54</v>
      </c>
      <c r="P23" s="177" t="s">
        <v>54</v>
      </c>
      <c r="Q23" s="177" t="s">
        <v>54</v>
      </c>
      <c r="R23" s="177" t="s">
        <v>54</v>
      </c>
      <c r="S23" s="179" t="s">
        <v>53</v>
      </c>
      <c r="T23" s="177" t="s">
        <v>54</v>
      </c>
      <c r="U23" s="177" t="s">
        <v>53</v>
      </c>
      <c r="V23" s="177" t="s">
        <v>54</v>
      </c>
      <c r="W23" s="178" t="s">
        <v>53</v>
      </c>
      <c r="X23" s="179" t="s">
        <v>53</v>
      </c>
      <c r="Y23" s="177" t="s">
        <v>54</v>
      </c>
      <c r="Z23" s="177" t="s">
        <v>54</v>
      </c>
      <c r="AA23" s="177" t="s">
        <v>53</v>
      </c>
      <c r="AB23" s="178" t="s">
        <v>54</v>
      </c>
      <c r="AC23" s="164">
        <f t="shared" si="2"/>
        <v>10</v>
      </c>
      <c r="AD23" s="29">
        <f t="shared" si="3"/>
        <v>15</v>
      </c>
      <c r="AE23" s="139">
        <f t="shared" si="4"/>
        <v>0</v>
      </c>
      <c r="AF23" s="158" t="str">
        <f t="shared" si="0"/>
        <v>PI</v>
      </c>
      <c r="AG23" s="159">
        <f t="shared" si="1"/>
        <v>0.4</v>
      </c>
    </row>
    <row r="24" spans="1:33" ht="62.4" thickTop="1" thickBot="1" x14ac:dyDescent="0.6">
      <c r="A24" s="36">
        <v>11</v>
      </c>
      <c r="B24" s="14" t="s">
        <v>156</v>
      </c>
      <c r="C24" s="86" t="s">
        <v>95</v>
      </c>
      <c r="D24" s="174" t="s">
        <v>54</v>
      </c>
      <c r="E24" s="166" t="s">
        <v>54</v>
      </c>
      <c r="F24" s="175" t="s">
        <v>53</v>
      </c>
      <c r="G24" s="176" t="s">
        <v>54</v>
      </c>
      <c r="H24" s="179" t="s">
        <v>53</v>
      </c>
      <c r="I24" s="177" t="s">
        <v>54</v>
      </c>
      <c r="J24" s="177" t="s">
        <v>53</v>
      </c>
      <c r="K24" s="177" t="s">
        <v>54</v>
      </c>
      <c r="L24" s="178" t="s">
        <v>53</v>
      </c>
      <c r="M24" s="179" t="s">
        <v>54</v>
      </c>
      <c r="N24" s="177" t="s">
        <v>54</v>
      </c>
      <c r="O24" s="177" t="s">
        <v>54</v>
      </c>
      <c r="P24" s="177" t="s">
        <v>55</v>
      </c>
      <c r="Q24" s="177" t="s">
        <v>54</v>
      </c>
      <c r="R24" s="177" t="s">
        <v>53</v>
      </c>
      <c r="S24" s="179" t="s">
        <v>54</v>
      </c>
      <c r="T24" s="177" t="s">
        <v>54</v>
      </c>
      <c r="U24" s="177" t="s">
        <v>54</v>
      </c>
      <c r="V24" s="177" t="s">
        <v>53</v>
      </c>
      <c r="W24" s="178" t="s">
        <v>54</v>
      </c>
      <c r="X24" s="179" t="s">
        <v>53</v>
      </c>
      <c r="Y24" s="177" t="s">
        <v>54</v>
      </c>
      <c r="Z24" s="177" t="s">
        <v>53</v>
      </c>
      <c r="AA24" s="177" t="s">
        <v>53</v>
      </c>
      <c r="AB24" s="178" t="s">
        <v>54</v>
      </c>
      <c r="AC24" s="44" t="str">
        <f t="shared" si="2"/>
        <v/>
      </c>
      <c r="AD24" s="31" t="str">
        <f t="shared" si="3"/>
        <v/>
      </c>
      <c r="AE24" s="64" t="str">
        <f t="shared" si="4"/>
        <v/>
      </c>
      <c r="AF24" s="158" t="str">
        <f t="shared" si="0"/>
        <v>S</v>
      </c>
      <c r="AG24" s="159" t="e">
        <f t="shared" si="1"/>
        <v>#VALUE!</v>
      </c>
    </row>
    <row r="25" spans="1:33" ht="62.4" thickTop="1" thickBot="1" x14ac:dyDescent="0.7">
      <c r="A25" s="142">
        <v>12</v>
      </c>
      <c r="B25" s="16" t="s">
        <v>157</v>
      </c>
      <c r="C25" s="86" t="s">
        <v>94</v>
      </c>
      <c r="D25" s="174" t="s">
        <v>54</v>
      </c>
      <c r="E25" s="166" t="s">
        <v>54</v>
      </c>
      <c r="F25" s="175" t="s">
        <v>53</v>
      </c>
      <c r="G25" s="176" t="s">
        <v>54</v>
      </c>
      <c r="H25" s="179" t="s">
        <v>53</v>
      </c>
      <c r="I25" s="177" t="s">
        <v>54</v>
      </c>
      <c r="J25" s="177" t="s">
        <v>53</v>
      </c>
      <c r="K25" s="177" t="s">
        <v>53</v>
      </c>
      <c r="L25" s="178" t="s">
        <v>53</v>
      </c>
      <c r="M25" s="179" t="s">
        <v>54</v>
      </c>
      <c r="N25" s="177" t="s">
        <v>54</v>
      </c>
      <c r="O25" s="177" t="s">
        <v>53</v>
      </c>
      <c r="P25" s="177" t="s">
        <v>53</v>
      </c>
      <c r="Q25" s="177" t="s">
        <v>53</v>
      </c>
      <c r="R25" s="177" t="s">
        <v>53</v>
      </c>
      <c r="S25" s="179" t="s">
        <v>53</v>
      </c>
      <c r="T25" s="177" t="s">
        <v>53</v>
      </c>
      <c r="U25" s="177" t="s">
        <v>54</v>
      </c>
      <c r="V25" s="177" t="s">
        <v>53</v>
      </c>
      <c r="W25" s="178" t="s">
        <v>53</v>
      </c>
      <c r="X25" s="179" t="s">
        <v>53</v>
      </c>
      <c r="Y25" s="177" t="s">
        <v>54</v>
      </c>
      <c r="Z25" s="177" t="s">
        <v>53</v>
      </c>
      <c r="AA25" s="177" t="s">
        <v>53</v>
      </c>
      <c r="AB25" s="178" t="s">
        <v>54</v>
      </c>
      <c r="AC25" s="164">
        <f t="shared" si="2"/>
        <v>16</v>
      </c>
      <c r="AD25" s="29">
        <f t="shared" si="3"/>
        <v>9</v>
      </c>
      <c r="AE25" s="139">
        <f t="shared" si="4"/>
        <v>0</v>
      </c>
      <c r="AF25" s="158" t="str">
        <f t="shared" si="0"/>
        <v>P</v>
      </c>
      <c r="AG25" s="159">
        <f t="shared" si="1"/>
        <v>0.64</v>
      </c>
    </row>
    <row r="26" spans="1:33" ht="62.4" thickTop="1" thickBot="1" x14ac:dyDescent="0.6">
      <c r="A26" s="36">
        <v>13</v>
      </c>
      <c r="B26" s="14" t="s">
        <v>158</v>
      </c>
      <c r="C26" s="86" t="s">
        <v>94</v>
      </c>
      <c r="D26" s="174" t="s">
        <v>54</v>
      </c>
      <c r="E26" s="166" t="s">
        <v>54</v>
      </c>
      <c r="F26" s="175" t="s">
        <v>53</v>
      </c>
      <c r="G26" s="176" t="s">
        <v>54</v>
      </c>
      <c r="H26" s="179" t="s">
        <v>53</v>
      </c>
      <c r="I26" s="177" t="s">
        <v>54</v>
      </c>
      <c r="J26" s="177" t="s">
        <v>53</v>
      </c>
      <c r="K26" s="177" t="s">
        <v>53</v>
      </c>
      <c r="L26" s="178" t="s">
        <v>53</v>
      </c>
      <c r="M26" s="179" t="s">
        <v>54</v>
      </c>
      <c r="N26" s="177" t="s">
        <v>54</v>
      </c>
      <c r="O26" s="177" t="s">
        <v>53</v>
      </c>
      <c r="P26" s="177" t="s">
        <v>53</v>
      </c>
      <c r="Q26" s="177" t="s">
        <v>53</v>
      </c>
      <c r="R26" s="177" t="s">
        <v>54</v>
      </c>
      <c r="S26" s="179" t="s">
        <v>53</v>
      </c>
      <c r="T26" s="177" t="s">
        <v>53</v>
      </c>
      <c r="U26" s="177" t="s">
        <v>54</v>
      </c>
      <c r="V26" s="177" t="s">
        <v>53</v>
      </c>
      <c r="W26" s="178" t="s">
        <v>53</v>
      </c>
      <c r="X26" s="179" t="s">
        <v>53</v>
      </c>
      <c r="Y26" s="177" t="s">
        <v>54</v>
      </c>
      <c r="Z26" s="177" t="s">
        <v>53</v>
      </c>
      <c r="AA26" s="177" t="s">
        <v>53</v>
      </c>
      <c r="AB26" s="178" t="s">
        <v>54</v>
      </c>
      <c r="AC26" s="44">
        <f t="shared" si="2"/>
        <v>15</v>
      </c>
      <c r="AD26" s="31">
        <f t="shared" si="3"/>
        <v>10</v>
      </c>
      <c r="AE26" s="64">
        <f t="shared" si="4"/>
        <v>0</v>
      </c>
      <c r="AF26" s="158" t="str">
        <f t="shared" si="0"/>
        <v>P</v>
      </c>
      <c r="AG26" s="159">
        <f t="shared" si="1"/>
        <v>0.6</v>
      </c>
    </row>
    <row r="27" spans="1:33" ht="62.4" thickTop="1" thickBot="1" x14ac:dyDescent="0.7">
      <c r="A27" s="142">
        <v>14</v>
      </c>
      <c r="B27" s="16" t="s">
        <v>159</v>
      </c>
      <c r="C27" s="86" t="s">
        <v>94</v>
      </c>
      <c r="D27" s="174" t="s">
        <v>54</v>
      </c>
      <c r="E27" s="166" t="s">
        <v>54</v>
      </c>
      <c r="F27" s="175" t="s">
        <v>53</v>
      </c>
      <c r="G27" s="176" t="s">
        <v>54</v>
      </c>
      <c r="H27" s="179" t="s">
        <v>53</v>
      </c>
      <c r="I27" s="177" t="s">
        <v>54</v>
      </c>
      <c r="J27" s="177" t="s">
        <v>53</v>
      </c>
      <c r="K27" s="177" t="s">
        <v>53</v>
      </c>
      <c r="L27" s="178" t="s">
        <v>54</v>
      </c>
      <c r="M27" s="179" t="s">
        <v>54</v>
      </c>
      <c r="N27" s="177" t="s">
        <v>54</v>
      </c>
      <c r="O27" s="177" t="s">
        <v>53</v>
      </c>
      <c r="P27" s="177" t="s">
        <v>53</v>
      </c>
      <c r="Q27" s="177" t="s">
        <v>53</v>
      </c>
      <c r="R27" s="177" t="s">
        <v>54</v>
      </c>
      <c r="S27" s="179" t="s">
        <v>53</v>
      </c>
      <c r="T27" s="177" t="s">
        <v>53</v>
      </c>
      <c r="U27" s="177" t="s">
        <v>54</v>
      </c>
      <c r="V27" s="177" t="s">
        <v>53</v>
      </c>
      <c r="W27" s="178" t="s">
        <v>53</v>
      </c>
      <c r="X27" s="179" t="s">
        <v>53</v>
      </c>
      <c r="Y27" s="177" t="s">
        <v>54</v>
      </c>
      <c r="Z27" s="177" t="s">
        <v>53</v>
      </c>
      <c r="AA27" s="177" t="s">
        <v>53</v>
      </c>
      <c r="AB27" s="178" t="s">
        <v>54</v>
      </c>
      <c r="AC27" s="164">
        <f t="shared" si="2"/>
        <v>14</v>
      </c>
      <c r="AD27" s="29">
        <f t="shared" si="3"/>
        <v>11</v>
      </c>
      <c r="AE27" s="139">
        <f t="shared" si="4"/>
        <v>0</v>
      </c>
      <c r="AF27" s="158" t="str">
        <f t="shared" si="0"/>
        <v>P</v>
      </c>
      <c r="AG27" s="159">
        <f t="shared" si="1"/>
        <v>0.56000000000000005</v>
      </c>
    </row>
    <row r="28" spans="1:33" ht="62.4" thickTop="1" thickBot="1" x14ac:dyDescent="0.6">
      <c r="A28" s="36">
        <v>15</v>
      </c>
      <c r="B28" s="14" t="s">
        <v>160</v>
      </c>
      <c r="C28" s="86" t="s">
        <v>94</v>
      </c>
      <c r="D28" s="174" t="s">
        <v>54</v>
      </c>
      <c r="E28" s="166" t="s">
        <v>54</v>
      </c>
      <c r="F28" s="175" t="s">
        <v>53</v>
      </c>
      <c r="G28" s="176" t="s">
        <v>54</v>
      </c>
      <c r="H28" s="179" t="s">
        <v>53</v>
      </c>
      <c r="I28" s="177" t="s">
        <v>54</v>
      </c>
      <c r="J28" s="177" t="s">
        <v>53</v>
      </c>
      <c r="K28" s="177" t="s">
        <v>53</v>
      </c>
      <c r="L28" s="178" t="s">
        <v>54</v>
      </c>
      <c r="M28" s="179" t="s">
        <v>54</v>
      </c>
      <c r="N28" s="177" t="s">
        <v>54</v>
      </c>
      <c r="O28" s="177" t="s">
        <v>53</v>
      </c>
      <c r="P28" s="177" t="s">
        <v>53</v>
      </c>
      <c r="Q28" s="177" t="s">
        <v>53</v>
      </c>
      <c r="R28" s="177" t="s">
        <v>54</v>
      </c>
      <c r="S28" s="179" t="s">
        <v>53</v>
      </c>
      <c r="T28" s="177" t="s">
        <v>53</v>
      </c>
      <c r="U28" s="177" t="s">
        <v>54</v>
      </c>
      <c r="V28" s="177" t="s">
        <v>53</v>
      </c>
      <c r="W28" s="178" t="s">
        <v>53</v>
      </c>
      <c r="X28" s="179" t="s">
        <v>53</v>
      </c>
      <c r="Y28" s="177" t="s">
        <v>54</v>
      </c>
      <c r="Z28" s="177" t="s">
        <v>53</v>
      </c>
      <c r="AA28" s="177" t="s">
        <v>54</v>
      </c>
      <c r="AB28" s="178" t="s">
        <v>54</v>
      </c>
      <c r="AC28" s="44">
        <f t="shared" si="2"/>
        <v>13</v>
      </c>
      <c r="AD28" s="31">
        <f t="shared" si="3"/>
        <v>12</v>
      </c>
      <c r="AE28" s="64">
        <f t="shared" si="4"/>
        <v>0</v>
      </c>
      <c r="AF28" s="158" t="str">
        <f t="shared" si="0"/>
        <v>I</v>
      </c>
      <c r="AG28" s="159">
        <f t="shared" si="1"/>
        <v>0.52</v>
      </c>
    </row>
    <row r="29" spans="1:33" ht="62.4" thickTop="1" thickBot="1" x14ac:dyDescent="0.7">
      <c r="A29" s="142">
        <v>16</v>
      </c>
      <c r="B29" s="16" t="s">
        <v>161</v>
      </c>
      <c r="C29" s="86" t="s">
        <v>94</v>
      </c>
      <c r="D29" s="174" t="s">
        <v>54</v>
      </c>
      <c r="E29" s="166" t="s">
        <v>54</v>
      </c>
      <c r="F29" s="175" t="s">
        <v>53</v>
      </c>
      <c r="G29" s="176" t="s">
        <v>54</v>
      </c>
      <c r="H29" s="179" t="s">
        <v>53</v>
      </c>
      <c r="I29" s="177" t="s">
        <v>54</v>
      </c>
      <c r="J29" s="177" t="s">
        <v>53</v>
      </c>
      <c r="K29" s="177" t="s">
        <v>53</v>
      </c>
      <c r="L29" s="178" t="s">
        <v>54</v>
      </c>
      <c r="M29" s="179" t="s">
        <v>54</v>
      </c>
      <c r="N29" s="177" t="s">
        <v>54</v>
      </c>
      <c r="O29" s="177" t="s">
        <v>53</v>
      </c>
      <c r="P29" s="177" t="s">
        <v>53</v>
      </c>
      <c r="Q29" s="177" t="s">
        <v>53</v>
      </c>
      <c r="R29" s="177" t="s">
        <v>54</v>
      </c>
      <c r="S29" s="179" t="s">
        <v>53</v>
      </c>
      <c r="T29" s="177" t="s">
        <v>53</v>
      </c>
      <c r="U29" s="177" t="s">
        <v>54</v>
      </c>
      <c r="V29" s="177" t="s">
        <v>53</v>
      </c>
      <c r="W29" s="178" t="s">
        <v>53</v>
      </c>
      <c r="X29" s="179" t="s">
        <v>53</v>
      </c>
      <c r="Y29" s="177" t="s">
        <v>54</v>
      </c>
      <c r="Z29" s="177" t="s">
        <v>53</v>
      </c>
      <c r="AA29" s="177" t="s">
        <v>54</v>
      </c>
      <c r="AB29" s="178" t="s">
        <v>54</v>
      </c>
      <c r="AC29" s="164">
        <f t="shared" si="2"/>
        <v>13</v>
      </c>
      <c r="AD29" s="29">
        <f t="shared" si="3"/>
        <v>12</v>
      </c>
      <c r="AE29" s="139">
        <f t="shared" si="4"/>
        <v>0</v>
      </c>
      <c r="AF29" s="158" t="str">
        <f t="shared" si="0"/>
        <v>I</v>
      </c>
      <c r="AG29" s="159">
        <f t="shared" si="1"/>
        <v>0.52</v>
      </c>
    </row>
    <row r="30" spans="1:33" ht="62.4" thickTop="1" thickBot="1" x14ac:dyDescent="0.6">
      <c r="A30" s="36">
        <v>17</v>
      </c>
      <c r="B30" s="14" t="s">
        <v>162</v>
      </c>
      <c r="C30" s="86" t="s">
        <v>94</v>
      </c>
      <c r="D30" s="174" t="s">
        <v>54</v>
      </c>
      <c r="E30" s="166" t="s">
        <v>54</v>
      </c>
      <c r="F30" s="175" t="s">
        <v>53</v>
      </c>
      <c r="G30" s="176" t="s">
        <v>54</v>
      </c>
      <c r="H30" s="179" t="s">
        <v>53</v>
      </c>
      <c r="I30" s="177" t="s">
        <v>54</v>
      </c>
      <c r="J30" s="177" t="s">
        <v>53</v>
      </c>
      <c r="K30" s="177" t="s">
        <v>53</v>
      </c>
      <c r="L30" s="178" t="s">
        <v>54</v>
      </c>
      <c r="M30" s="179" t="s">
        <v>54</v>
      </c>
      <c r="N30" s="177" t="s">
        <v>54</v>
      </c>
      <c r="O30" s="177" t="s">
        <v>53</v>
      </c>
      <c r="P30" s="177" t="s">
        <v>53</v>
      </c>
      <c r="Q30" s="177" t="s">
        <v>53</v>
      </c>
      <c r="R30" s="177" t="s">
        <v>54</v>
      </c>
      <c r="S30" s="179" t="s">
        <v>53</v>
      </c>
      <c r="T30" s="177" t="s">
        <v>53</v>
      </c>
      <c r="U30" s="177" t="s">
        <v>54</v>
      </c>
      <c r="V30" s="177" t="s">
        <v>53</v>
      </c>
      <c r="W30" s="178" t="s">
        <v>53</v>
      </c>
      <c r="X30" s="179" t="s">
        <v>53</v>
      </c>
      <c r="Y30" s="177" t="s">
        <v>54</v>
      </c>
      <c r="Z30" s="177" t="s">
        <v>53</v>
      </c>
      <c r="AA30" s="177" t="s">
        <v>54</v>
      </c>
      <c r="AB30" s="178" t="s">
        <v>54</v>
      </c>
      <c r="AC30" s="44">
        <f t="shared" si="2"/>
        <v>13</v>
      </c>
      <c r="AD30" s="31">
        <f t="shared" si="3"/>
        <v>12</v>
      </c>
      <c r="AE30" s="64">
        <f t="shared" si="4"/>
        <v>0</v>
      </c>
      <c r="AF30" s="158" t="str">
        <f t="shared" si="0"/>
        <v>I</v>
      </c>
      <c r="AG30" s="159">
        <f t="shared" si="1"/>
        <v>0.52</v>
      </c>
    </row>
    <row r="31" spans="1:33" ht="62.4" thickTop="1" thickBot="1" x14ac:dyDescent="0.7">
      <c r="A31" s="142">
        <v>18</v>
      </c>
      <c r="B31" s="16" t="s">
        <v>163</v>
      </c>
      <c r="C31" s="86" t="s">
        <v>94</v>
      </c>
      <c r="D31" s="174" t="s">
        <v>54</v>
      </c>
      <c r="E31" s="166" t="s">
        <v>54</v>
      </c>
      <c r="F31" s="175" t="s">
        <v>53</v>
      </c>
      <c r="G31" s="176" t="s">
        <v>54</v>
      </c>
      <c r="H31" s="179" t="s">
        <v>53</v>
      </c>
      <c r="I31" s="177" t="s">
        <v>54</v>
      </c>
      <c r="J31" s="177" t="s">
        <v>53</v>
      </c>
      <c r="K31" s="177" t="s">
        <v>53</v>
      </c>
      <c r="L31" s="178" t="s">
        <v>54</v>
      </c>
      <c r="M31" s="179" t="s">
        <v>54</v>
      </c>
      <c r="N31" s="177" t="s">
        <v>54</v>
      </c>
      <c r="O31" s="177" t="s">
        <v>53</v>
      </c>
      <c r="P31" s="177" t="s">
        <v>53</v>
      </c>
      <c r="Q31" s="177" t="s">
        <v>53</v>
      </c>
      <c r="R31" s="177" t="s">
        <v>53</v>
      </c>
      <c r="S31" s="179" t="s">
        <v>53</v>
      </c>
      <c r="T31" s="177" t="s">
        <v>53</v>
      </c>
      <c r="U31" s="177" t="s">
        <v>54</v>
      </c>
      <c r="V31" s="177" t="s">
        <v>53</v>
      </c>
      <c r="W31" s="178" t="s">
        <v>53</v>
      </c>
      <c r="X31" s="179" t="s">
        <v>53</v>
      </c>
      <c r="Y31" s="177" t="s">
        <v>54</v>
      </c>
      <c r="Z31" s="177" t="s">
        <v>53</v>
      </c>
      <c r="AA31" s="177" t="s">
        <v>54</v>
      </c>
      <c r="AB31" s="178" t="s">
        <v>54</v>
      </c>
      <c r="AC31" s="164">
        <f t="shared" si="2"/>
        <v>14</v>
      </c>
      <c r="AD31" s="29">
        <f t="shared" si="3"/>
        <v>11</v>
      </c>
      <c r="AE31" s="139">
        <f t="shared" si="4"/>
        <v>0</v>
      </c>
      <c r="AF31" s="158" t="str">
        <f t="shared" si="0"/>
        <v>P</v>
      </c>
      <c r="AG31" s="159">
        <f t="shared" si="1"/>
        <v>0.56000000000000005</v>
      </c>
    </row>
    <row r="32" spans="1:33" ht="62.4" thickTop="1" thickBot="1" x14ac:dyDescent="0.6">
      <c r="A32" s="36">
        <v>19</v>
      </c>
      <c r="B32" s="14" t="s">
        <v>164</v>
      </c>
      <c r="C32" s="86" t="s">
        <v>94</v>
      </c>
      <c r="D32" s="174" t="s">
        <v>54</v>
      </c>
      <c r="E32" s="166" t="s">
        <v>53</v>
      </c>
      <c r="F32" s="175" t="s">
        <v>53</v>
      </c>
      <c r="G32" s="176" t="s">
        <v>54</v>
      </c>
      <c r="H32" s="179" t="s">
        <v>53</v>
      </c>
      <c r="I32" s="177" t="s">
        <v>54</v>
      </c>
      <c r="J32" s="177" t="s">
        <v>53</v>
      </c>
      <c r="K32" s="177" t="s">
        <v>54</v>
      </c>
      <c r="L32" s="178" t="s">
        <v>53</v>
      </c>
      <c r="M32" s="179" t="s">
        <v>54</v>
      </c>
      <c r="N32" s="179" t="s">
        <v>54</v>
      </c>
      <c r="O32" s="179" t="s">
        <v>54</v>
      </c>
      <c r="P32" s="179" t="s">
        <v>54</v>
      </c>
      <c r="Q32" s="179" t="s">
        <v>54</v>
      </c>
      <c r="R32" s="177" t="s">
        <v>53</v>
      </c>
      <c r="S32" s="179" t="s">
        <v>53</v>
      </c>
      <c r="T32" s="177" t="s">
        <v>53</v>
      </c>
      <c r="U32" s="177" t="s">
        <v>54</v>
      </c>
      <c r="V32" s="177" t="s">
        <v>53</v>
      </c>
      <c r="W32" s="178" t="s">
        <v>53</v>
      </c>
      <c r="X32" s="179" t="s">
        <v>53</v>
      </c>
      <c r="Y32" s="177" t="s">
        <v>54</v>
      </c>
      <c r="Z32" s="177" t="s">
        <v>53</v>
      </c>
      <c r="AA32" s="177" t="s">
        <v>54</v>
      </c>
      <c r="AB32" s="178" t="s">
        <v>54</v>
      </c>
      <c r="AC32" s="44">
        <f t="shared" si="2"/>
        <v>12</v>
      </c>
      <c r="AD32" s="31">
        <f t="shared" si="3"/>
        <v>13</v>
      </c>
      <c r="AE32" s="64">
        <f t="shared" si="4"/>
        <v>0</v>
      </c>
      <c r="AF32" s="158" t="str">
        <f t="shared" si="0"/>
        <v>I</v>
      </c>
      <c r="AG32" s="159">
        <f t="shared" si="1"/>
        <v>0.48</v>
      </c>
    </row>
    <row r="33" spans="1:33" ht="62.4" thickTop="1" thickBot="1" x14ac:dyDescent="0.7">
      <c r="A33" s="142">
        <v>20</v>
      </c>
      <c r="B33" s="16" t="s">
        <v>165</v>
      </c>
      <c r="C33" s="86" t="s">
        <v>94</v>
      </c>
      <c r="D33" s="174" t="s">
        <v>54</v>
      </c>
      <c r="E33" s="166" t="s">
        <v>53</v>
      </c>
      <c r="F33" s="175" t="s">
        <v>53</v>
      </c>
      <c r="G33" s="176" t="s">
        <v>54</v>
      </c>
      <c r="H33" s="179" t="s">
        <v>53</v>
      </c>
      <c r="I33" s="177" t="s">
        <v>54</v>
      </c>
      <c r="J33" s="177" t="s">
        <v>53</v>
      </c>
      <c r="K33" s="177" t="s">
        <v>54</v>
      </c>
      <c r="L33" s="178" t="s">
        <v>53</v>
      </c>
      <c r="M33" s="179" t="s">
        <v>54</v>
      </c>
      <c r="N33" s="177" t="s">
        <v>53</v>
      </c>
      <c r="O33" s="177" t="s">
        <v>53</v>
      </c>
      <c r="P33" s="177" t="s">
        <v>53</v>
      </c>
      <c r="Q33" s="177" t="s">
        <v>53</v>
      </c>
      <c r="R33" s="177" t="s">
        <v>53</v>
      </c>
      <c r="S33" s="179" t="s">
        <v>53</v>
      </c>
      <c r="T33" s="177" t="s">
        <v>53</v>
      </c>
      <c r="U33" s="177" t="s">
        <v>54</v>
      </c>
      <c r="V33" s="177" t="s">
        <v>53</v>
      </c>
      <c r="W33" s="178" t="s">
        <v>53</v>
      </c>
      <c r="X33" s="179" t="s">
        <v>53</v>
      </c>
      <c r="Y33" s="177" t="s">
        <v>54</v>
      </c>
      <c r="Z33" s="177" t="s">
        <v>53</v>
      </c>
      <c r="AA33" s="177" t="s">
        <v>54</v>
      </c>
      <c r="AB33" s="178" t="s">
        <v>54</v>
      </c>
      <c r="AC33" s="164">
        <f t="shared" si="2"/>
        <v>16</v>
      </c>
      <c r="AD33" s="29">
        <f t="shared" si="3"/>
        <v>9</v>
      </c>
      <c r="AE33" s="139">
        <f t="shared" si="4"/>
        <v>0</v>
      </c>
      <c r="AF33" s="158" t="str">
        <f t="shared" si="0"/>
        <v>P</v>
      </c>
      <c r="AG33" s="159">
        <f t="shared" si="1"/>
        <v>0.64</v>
      </c>
    </row>
    <row r="34" spans="1:33" ht="62.4" thickTop="1" thickBot="1" x14ac:dyDescent="0.6">
      <c r="A34" s="36">
        <v>21</v>
      </c>
      <c r="B34" s="14" t="s">
        <v>166</v>
      </c>
      <c r="C34" s="86" t="s">
        <v>94</v>
      </c>
      <c r="D34" s="174" t="s">
        <v>54</v>
      </c>
      <c r="E34" s="166" t="s">
        <v>53</v>
      </c>
      <c r="F34" s="175" t="s">
        <v>53</v>
      </c>
      <c r="G34" s="176" t="s">
        <v>54</v>
      </c>
      <c r="H34" s="179" t="s">
        <v>53</v>
      </c>
      <c r="I34" s="177" t="s">
        <v>54</v>
      </c>
      <c r="J34" s="177" t="s">
        <v>53</v>
      </c>
      <c r="K34" s="177" t="s">
        <v>54</v>
      </c>
      <c r="L34" s="178" t="s">
        <v>53</v>
      </c>
      <c r="M34" s="179" t="s">
        <v>54</v>
      </c>
      <c r="N34" s="177" t="s">
        <v>53</v>
      </c>
      <c r="O34" s="177" t="s">
        <v>53</v>
      </c>
      <c r="P34" s="177" t="s">
        <v>53</v>
      </c>
      <c r="Q34" s="177" t="s">
        <v>53</v>
      </c>
      <c r="R34" s="177" t="s">
        <v>53</v>
      </c>
      <c r="S34" s="179" t="s">
        <v>53</v>
      </c>
      <c r="T34" s="177" t="s">
        <v>53</v>
      </c>
      <c r="U34" s="177" t="s">
        <v>54</v>
      </c>
      <c r="V34" s="177" t="s">
        <v>53</v>
      </c>
      <c r="W34" s="178" t="s">
        <v>53</v>
      </c>
      <c r="X34" s="179" t="s">
        <v>53</v>
      </c>
      <c r="Y34" s="177" t="s">
        <v>54</v>
      </c>
      <c r="Z34" s="177" t="s">
        <v>53</v>
      </c>
      <c r="AA34" s="177" t="s">
        <v>54</v>
      </c>
      <c r="AB34" s="178" t="s">
        <v>54</v>
      </c>
      <c r="AC34" s="44">
        <f t="shared" si="2"/>
        <v>16</v>
      </c>
      <c r="AD34" s="31">
        <f t="shared" si="3"/>
        <v>9</v>
      </c>
      <c r="AE34" s="64">
        <f t="shared" si="4"/>
        <v>0</v>
      </c>
      <c r="AF34" s="158" t="str">
        <f t="shared" si="0"/>
        <v>P</v>
      </c>
      <c r="AG34" s="159">
        <f t="shared" si="1"/>
        <v>0.64</v>
      </c>
    </row>
    <row r="35" spans="1:33" ht="62.4" thickTop="1" thickBot="1" x14ac:dyDescent="0.7">
      <c r="A35" s="142">
        <v>22</v>
      </c>
      <c r="B35" s="16" t="s">
        <v>166</v>
      </c>
      <c r="C35" s="86" t="s">
        <v>94</v>
      </c>
      <c r="D35" s="174" t="s">
        <v>54</v>
      </c>
      <c r="E35" s="166" t="s">
        <v>53</v>
      </c>
      <c r="F35" s="175" t="s">
        <v>53</v>
      </c>
      <c r="G35" s="176" t="s">
        <v>54</v>
      </c>
      <c r="H35" s="179" t="s">
        <v>53</v>
      </c>
      <c r="I35" s="177" t="s">
        <v>54</v>
      </c>
      <c r="J35" s="177" t="s">
        <v>53</v>
      </c>
      <c r="K35" s="177" t="s">
        <v>54</v>
      </c>
      <c r="L35" s="178" t="s">
        <v>53</v>
      </c>
      <c r="M35" s="179" t="s">
        <v>54</v>
      </c>
      <c r="N35" s="177" t="s">
        <v>53</v>
      </c>
      <c r="O35" s="177" t="s">
        <v>53</v>
      </c>
      <c r="P35" s="177" t="s">
        <v>53</v>
      </c>
      <c r="Q35" s="177" t="s">
        <v>53</v>
      </c>
      <c r="R35" s="177" t="s">
        <v>53</v>
      </c>
      <c r="S35" s="179" t="s">
        <v>53</v>
      </c>
      <c r="T35" s="177" t="s">
        <v>53</v>
      </c>
      <c r="U35" s="177" t="s">
        <v>54</v>
      </c>
      <c r="V35" s="177" t="s">
        <v>53</v>
      </c>
      <c r="W35" s="178" t="s">
        <v>53</v>
      </c>
      <c r="X35" s="179" t="s">
        <v>53</v>
      </c>
      <c r="Y35" s="177" t="s">
        <v>54</v>
      </c>
      <c r="Z35" s="177" t="s">
        <v>53</v>
      </c>
      <c r="AA35" s="177" t="s">
        <v>54</v>
      </c>
      <c r="AB35" s="178" t="s">
        <v>54</v>
      </c>
      <c r="AC35" s="164">
        <f t="shared" si="2"/>
        <v>16</v>
      </c>
      <c r="AD35" s="29">
        <f t="shared" si="3"/>
        <v>9</v>
      </c>
      <c r="AE35" s="139">
        <f t="shared" si="4"/>
        <v>0</v>
      </c>
      <c r="AF35" s="158" t="str">
        <f t="shared" si="0"/>
        <v>P</v>
      </c>
      <c r="AG35" s="159">
        <f t="shared" si="1"/>
        <v>0.64</v>
      </c>
    </row>
    <row r="36" spans="1:33" ht="62.4" thickTop="1" thickBot="1" x14ac:dyDescent="0.6">
      <c r="A36" s="36">
        <v>23</v>
      </c>
      <c r="B36" s="14" t="s">
        <v>167</v>
      </c>
      <c r="C36" s="86" t="s">
        <v>94</v>
      </c>
      <c r="D36" s="174" t="s">
        <v>54</v>
      </c>
      <c r="E36" s="166" t="s">
        <v>53</v>
      </c>
      <c r="F36" s="175" t="s">
        <v>53</v>
      </c>
      <c r="G36" s="176" t="s">
        <v>54</v>
      </c>
      <c r="H36" s="179" t="s">
        <v>53</v>
      </c>
      <c r="I36" s="177" t="s">
        <v>53</v>
      </c>
      <c r="J36" s="177" t="s">
        <v>53</v>
      </c>
      <c r="K36" s="177" t="s">
        <v>54</v>
      </c>
      <c r="L36" s="178" t="s">
        <v>53</v>
      </c>
      <c r="M36" s="179" t="s">
        <v>54</v>
      </c>
      <c r="N36" s="179" t="s">
        <v>54</v>
      </c>
      <c r="O36" s="179" t="s">
        <v>54</v>
      </c>
      <c r="P36" s="179" t="s">
        <v>54</v>
      </c>
      <c r="Q36" s="179" t="s">
        <v>54</v>
      </c>
      <c r="R36" s="179" t="s">
        <v>54</v>
      </c>
      <c r="S36" s="179" t="s">
        <v>54</v>
      </c>
      <c r="T36" s="179" t="s">
        <v>54</v>
      </c>
      <c r="U36" s="177" t="s">
        <v>54</v>
      </c>
      <c r="V36" s="177" t="s">
        <v>53</v>
      </c>
      <c r="W36" s="178" t="s">
        <v>53</v>
      </c>
      <c r="X36" s="179" t="s">
        <v>53</v>
      </c>
      <c r="Y36" s="177" t="s">
        <v>54</v>
      </c>
      <c r="Z36" s="177" t="s">
        <v>53</v>
      </c>
      <c r="AA36" s="177" t="s">
        <v>54</v>
      </c>
      <c r="AB36" s="178" t="s">
        <v>54</v>
      </c>
      <c r="AC36" s="44">
        <f t="shared" si="2"/>
        <v>10</v>
      </c>
      <c r="AD36" s="31">
        <f t="shared" si="3"/>
        <v>15</v>
      </c>
      <c r="AE36" s="64">
        <f t="shared" si="4"/>
        <v>0</v>
      </c>
      <c r="AF36" s="158" t="str">
        <f t="shared" si="0"/>
        <v>PI</v>
      </c>
      <c r="AG36" s="159">
        <f t="shared" si="1"/>
        <v>0.4</v>
      </c>
    </row>
    <row r="37" spans="1:33" ht="62.4" thickTop="1" thickBot="1" x14ac:dyDescent="0.7">
      <c r="A37" s="142">
        <v>24</v>
      </c>
      <c r="B37" s="16" t="s">
        <v>168</v>
      </c>
      <c r="C37" s="86" t="s">
        <v>94</v>
      </c>
      <c r="D37" s="174" t="s">
        <v>54</v>
      </c>
      <c r="E37" s="166" t="s">
        <v>53</v>
      </c>
      <c r="F37" s="175" t="s">
        <v>53</v>
      </c>
      <c r="G37" s="176" t="s">
        <v>54</v>
      </c>
      <c r="H37" s="179" t="s">
        <v>53</v>
      </c>
      <c r="I37" s="177" t="s">
        <v>53</v>
      </c>
      <c r="J37" s="177" t="s">
        <v>53</v>
      </c>
      <c r="K37" s="177" t="s">
        <v>54</v>
      </c>
      <c r="L37" s="178" t="s">
        <v>53</v>
      </c>
      <c r="M37" s="179" t="s">
        <v>54</v>
      </c>
      <c r="N37" s="177" t="s">
        <v>53</v>
      </c>
      <c r="O37" s="177" t="s">
        <v>53</v>
      </c>
      <c r="P37" s="179" t="s">
        <v>54</v>
      </c>
      <c r="Q37" s="177" t="s">
        <v>53</v>
      </c>
      <c r="R37" s="177" t="s">
        <v>53</v>
      </c>
      <c r="S37" s="179" t="s">
        <v>53</v>
      </c>
      <c r="T37" s="177" t="s">
        <v>53</v>
      </c>
      <c r="U37" s="177" t="s">
        <v>54</v>
      </c>
      <c r="V37" s="177" t="s">
        <v>53</v>
      </c>
      <c r="W37" s="178" t="s">
        <v>53</v>
      </c>
      <c r="X37" s="179" t="s">
        <v>53</v>
      </c>
      <c r="Y37" s="177" t="s">
        <v>54</v>
      </c>
      <c r="Z37" s="177" t="s">
        <v>53</v>
      </c>
      <c r="AA37" s="177" t="s">
        <v>53</v>
      </c>
      <c r="AB37" s="178" t="s">
        <v>54</v>
      </c>
      <c r="AC37" s="164">
        <f t="shared" si="2"/>
        <v>17</v>
      </c>
      <c r="AD37" s="29">
        <f t="shared" si="3"/>
        <v>8</v>
      </c>
      <c r="AE37" s="139">
        <f t="shared" si="4"/>
        <v>0</v>
      </c>
      <c r="AF37" s="158" t="str">
        <f t="shared" si="0"/>
        <v>S</v>
      </c>
      <c r="AG37" s="159">
        <f t="shared" si="1"/>
        <v>0.68</v>
      </c>
    </row>
    <row r="38" spans="1:33" ht="62.4" thickTop="1" thickBot="1" x14ac:dyDescent="0.6">
      <c r="A38" s="36">
        <v>25</v>
      </c>
      <c r="B38" s="14" t="s">
        <v>169</v>
      </c>
      <c r="C38" s="86" t="s">
        <v>94</v>
      </c>
      <c r="D38" s="174" t="s">
        <v>54</v>
      </c>
      <c r="E38" s="166" t="s">
        <v>53</v>
      </c>
      <c r="F38" s="175" t="s">
        <v>53</v>
      </c>
      <c r="G38" s="176" t="s">
        <v>54</v>
      </c>
      <c r="H38" s="179" t="s">
        <v>53</v>
      </c>
      <c r="I38" s="177" t="s">
        <v>53</v>
      </c>
      <c r="J38" s="177" t="s">
        <v>53</v>
      </c>
      <c r="K38" s="177" t="s">
        <v>54</v>
      </c>
      <c r="L38" s="178" t="s">
        <v>53</v>
      </c>
      <c r="M38" s="179" t="s">
        <v>54</v>
      </c>
      <c r="N38" s="177" t="s">
        <v>53</v>
      </c>
      <c r="O38" s="177" t="s">
        <v>53</v>
      </c>
      <c r="P38" s="179" t="s">
        <v>54</v>
      </c>
      <c r="Q38" s="177" t="s">
        <v>53</v>
      </c>
      <c r="R38" s="177" t="s">
        <v>53</v>
      </c>
      <c r="S38" s="179" t="s">
        <v>53</v>
      </c>
      <c r="T38" s="177" t="s">
        <v>53</v>
      </c>
      <c r="U38" s="177" t="s">
        <v>54</v>
      </c>
      <c r="V38" s="177" t="s">
        <v>53</v>
      </c>
      <c r="W38" s="178" t="s">
        <v>53</v>
      </c>
      <c r="X38" s="179" t="s">
        <v>53</v>
      </c>
      <c r="Y38" s="177" t="s">
        <v>53</v>
      </c>
      <c r="Z38" s="177" t="s">
        <v>53</v>
      </c>
      <c r="AA38" s="177" t="s">
        <v>53</v>
      </c>
      <c r="AB38" s="178" t="s">
        <v>54</v>
      </c>
      <c r="AC38" s="44">
        <f t="shared" si="2"/>
        <v>18</v>
      </c>
      <c r="AD38" s="31">
        <f t="shared" si="3"/>
        <v>7</v>
      </c>
      <c r="AE38" s="64">
        <f t="shared" si="4"/>
        <v>0</v>
      </c>
      <c r="AF38" s="158" t="str">
        <f t="shared" si="0"/>
        <v>S</v>
      </c>
      <c r="AG38" s="159">
        <f t="shared" si="1"/>
        <v>0.72</v>
      </c>
    </row>
    <row r="39" spans="1:33" ht="62.4" thickTop="1" thickBot="1" x14ac:dyDescent="0.7">
      <c r="A39" s="142">
        <v>26</v>
      </c>
      <c r="B39" s="16" t="s">
        <v>170</v>
      </c>
      <c r="C39" s="86" t="s">
        <v>94</v>
      </c>
      <c r="D39" s="174" t="s">
        <v>54</v>
      </c>
      <c r="E39" s="174" t="s">
        <v>54</v>
      </c>
      <c r="F39" s="174" t="s">
        <v>54</v>
      </c>
      <c r="G39" s="176" t="s">
        <v>54</v>
      </c>
      <c r="H39" s="174" t="s">
        <v>54</v>
      </c>
      <c r="I39" s="174" t="s">
        <v>54</v>
      </c>
      <c r="J39" s="177" t="s">
        <v>53</v>
      </c>
      <c r="K39" s="177" t="s">
        <v>53</v>
      </c>
      <c r="L39" s="178" t="s">
        <v>54</v>
      </c>
      <c r="M39" s="179" t="s">
        <v>54</v>
      </c>
      <c r="N39" s="177" t="s">
        <v>53</v>
      </c>
      <c r="O39" s="177" t="s">
        <v>53</v>
      </c>
      <c r="P39" s="179" t="s">
        <v>54</v>
      </c>
      <c r="Q39" s="177" t="s">
        <v>53</v>
      </c>
      <c r="R39" s="177" t="s">
        <v>53</v>
      </c>
      <c r="S39" s="179" t="s">
        <v>53</v>
      </c>
      <c r="T39" s="177" t="s">
        <v>53</v>
      </c>
      <c r="U39" s="177" t="s">
        <v>54</v>
      </c>
      <c r="V39" s="177" t="s">
        <v>53</v>
      </c>
      <c r="W39" s="178" t="s">
        <v>53</v>
      </c>
      <c r="X39" s="179" t="s">
        <v>53</v>
      </c>
      <c r="Y39" s="177" t="s">
        <v>53</v>
      </c>
      <c r="Z39" s="177" t="s">
        <v>53</v>
      </c>
      <c r="AA39" s="177" t="s">
        <v>53</v>
      </c>
      <c r="AB39" s="178" t="s">
        <v>54</v>
      </c>
      <c r="AC39" s="164">
        <f t="shared" si="2"/>
        <v>14</v>
      </c>
      <c r="AD39" s="29">
        <f t="shared" si="3"/>
        <v>11</v>
      </c>
      <c r="AE39" s="139">
        <f t="shared" si="4"/>
        <v>0</v>
      </c>
      <c r="AF39" s="158" t="str">
        <f t="shared" si="0"/>
        <v>P</v>
      </c>
      <c r="AG39" s="159">
        <f t="shared" si="1"/>
        <v>0.56000000000000005</v>
      </c>
    </row>
    <row r="40" spans="1:33" ht="62.4" thickTop="1" thickBot="1" x14ac:dyDescent="0.6">
      <c r="A40" s="36">
        <v>27</v>
      </c>
      <c r="B40" s="14" t="s">
        <v>171</v>
      </c>
      <c r="C40" s="86" t="s">
        <v>94</v>
      </c>
      <c r="D40" s="174" t="s">
        <v>54</v>
      </c>
      <c r="E40" s="166" t="s">
        <v>53</v>
      </c>
      <c r="F40" s="175" t="s">
        <v>53</v>
      </c>
      <c r="G40" s="176" t="s">
        <v>54</v>
      </c>
      <c r="H40" s="167" t="s">
        <v>53</v>
      </c>
      <c r="I40" s="177" t="s">
        <v>53</v>
      </c>
      <c r="J40" s="177" t="s">
        <v>53</v>
      </c>
      <c r="K40" s="177" t="s">
        <v>53</v>
      </c>
      <c r="L40" s="178" t="s">
        <v>54</v>
      </c>
      <c r="M40" s="179" t="s">
        <v>54</v>
      </c>
      <c r="N40" s="177" t="s">
        <v>53</v>
      </c>
      <c r="O40" s="177" t="s">
        <v>53</v>
      </c>
      <c r="P40" s="179" t="s">
        <v>54</v>
      </c>
      <c r="Q40" s="177" t="s">
        <v>53</v>
      </c>
      <c r="R40" s="177" t="s">
        <v>53</v>
      </c>
      <c r="S40" s="179" t="s">
        <v>53</v>
      </c>
      <c r="T40" s="177" t="s">
        <v>53</v>
      </c>
      <c r="U40" s="177" t="s">
        <v>54</v>
      </c>
      <c r="V40" s="177" t="s">
        <v>53</v>
      </c>
      <c r="W40" s="178" t="s">
        <v>53</v>
      </c>
      <c r="X40" s="179" t="s">
        <v>53</v>
      </c>
      <c r="Y40" s="177" t="s">
        <v>53</v>
      </c>
      <c r="Z40" s="177" t="s">
        <v>53</v>
      </c>
      <c r="AA40" s="177" t="s">
        <v>53</v>
      </c>
      <c r="AB40" s="178" t="s">
        <v>54</v>
      </c>
      <c r="AC40" s="44">
        <f t="shared" si="2"/>
        <v>18</v>
      </c>
      <c r="AD40" s="31">
        <f t="shared" si="3"/>
        <v>7</v>
      </c>
      <c r="AE40" s="64">
        <f t="shared" si="4"/>
        <v>0</v>
      </c>
      <c r="AF40" s="158" t="str">
        <f t="shared" si="0"/>
        <v>S</v>
      </c>
      <c r="AG40" s="159">
        <f t="shared" si="1"/>
        <v>0.72</v>
      </c>
    </row>
    <row r="41" spans="1:33" ht="62.4" thickTop="1" thickBot="1" x14ac:dyDescent="0.7">
      <c r="A41" s="142">
        <v>28</v>
      </c>
      <c r="B41" s="16" t="s">
        <v>172</v>
      </c>
      <c r="C41" s="86" t="s">
        <v>94</v>
      </c>
      <c r="D41" s="174" t="s">
        <v>54</v>
      </c>
      <c r="E41" s="166" t="s">
        <v>53</v>
      </c>
      <c r="F41" s="175" t="s">
        <v>53</v>
      </c>
      <c r="G41" s="176" t="s">
        <v>54</v>
      </c>
      <c r="H41" s="169" t="s">
        <v>53</v>
      </c>
      <c r="I41" s="177" t="s">
        <v>53</v>
      </c>
      <c r="J41" s="177" t="s">
        <v>53</v>
      </c>
      <c r="K41" s="177" t="s">
        <v>53</v>
      </c>
      <c r="L41" s="178" t="s">
        <v>54</v>
      </c>
      <c r="M41" s="179" t="s">
        <v>54</v>
      </c>
      <c r="N41" s="177" t="s">
        <v>53</v>
      </c>
      <c r="O41" s="177" t="s">
        <v>53</v>
      </c>
      <c r="P41" s="179" t="s">
        <v>54</v>
      </c>
      <c r="Q41" s="177" t="s">
        <v>53</v>
      </c>
      <c r="R41" s="177" t="s">
        <v>53</v>
      </c>
      <c r="S41" s="179" t="s">
        <v>53</v>
      </c>
      <c r="T41" s="177" t="s">
        <v>53</v>
      </c>
      <c r="U41" s="177" t="s">
        <v>54</v>
      </c>
      <c r="V41" s="177" t="s">
        <v>53</v>
      </c>
      <c r="W41" s="178" t="s">
        <v>53</v>
      </c>
      <c r="X41" s="179" t="s">
        <v>53</v>
      </c>
      <c r="Y41" s="177" t="s">
        <v>53</v>
      </c>
      <c r="Z41" s="177" t="s">
        <v>53</v>
      </c>
      <c r="AA41" s="177" t="s">
        <v>53</v>
      </c>
      <c r="AB41" s="178" t="s">
        <v>54</v>
      </c>
      <c r="AC41" s="164">
        <f t="shared" si="2"/>
        <v>18</v>
      </c>
      <c r="AD41" s="29">
        <f t="shared" si="3"/>
        <v>7</v>
      </c>
      <c r="AE41" s="139">
        <f t="shared" si="4"/>
        <v>0</v>
      </c>
      <c r="AF41" s="158" t="str">
        <f t="shared" si="0"/>
        <v>S</v>
      </c>
      <c r="AG41" s="159">
        <f t="shared" si="1"/>
        <v>0.72</v>
      </c>
    </row>
    <row r="42" spans="1:33" ht="62.4" thickTop="1" thickBot="1" x14ac:dyDescent="0.6">
      <c r="A42" s="36">
        <v>29</v>
      </c>
      <c r="B42" s="14" t="s">
        <v>173</v>
      </c>
      <c r="C42" s="86" t="s">
        <v>94</v>
      </c>
      <c r="D42" s="174" t="s">
        <v>54</v>
      </c>
      <c r="E42" s="166" t="s">
        <v>53</v>
      </c>
      <c r="F42" s="175" t="s">
        <v>53</v>
      </c>
      <c r="G42" s="176" t="s">
        <v>54</v>
      </c>
      <c r="H42" s="176" t="s">
        <v>53</v>
      </c>
      <c r="I42" s="177" t="s">
        <v>53</v>
      </c>
      <c r="J42" s="177" t="s">
        <v>53</v>
      </c>
      <c r="K42" s="177" t="s">
        <v>53</v>
      </c>
      <c r="L42" s="178" t="s">
        <v>54</v>
      </c>
      <c r="M42" s="179" t="s">
        <v>54</v>
      </c>
      <c r="N42" s="177" t="s">
        <v>53</v>
      </c>
      <c r="O42" s="177" t="s">
        <v>53</v>
      </c>
      <c r="P42" s="179" t="s">
        <v>54</v>
      </c>
      <c r="Q42" s="177" t="s">
        <v>53</v>
      </c>
      <c r="R42" s="177" t="s">
        <v>53</v>
      </c>
      <c r="S42" s="179" t="s">
        <v>53</v>
      </c>
      <c r="T42" s="177" t="s">
        <v>53</v>
      </c>
      <c r="U42" s="177" t="s">
        <v>54</v>
      </c>
      <c r="V42" s="177" t="s">
        <v>53</v>
      </c>
      <c r="W42" s="178" t="s">
        <v>53</v>
      </c>
      <c r="X42" s="179" t="s">
        <v>53</v>
      </c>
      <c r="Y42" s="177" t="s">
        <v>53</v>
      </c>
      <c r="Z42" s="177" t="s">
        <v>53</v>
      </c>
      <c r="AA42" s="177" t="s">
        <v>53</v>
      </c>
      <c r="AB42" s="178" t="s">
        <v>54</v>
      </c>
      <c r="AC42" s="44">
        <f t="shared" si="2"/>
        <v>18</v>
      </c>
      <c r="AD42" s="31">
        <f t="shared" si="3"/>
        <v>7</v>
      </c>
      <c r="AE42" s="64">
        <f t="shared" si="4"/>
        <v>0</v>
      </c>
      <c r="AF42" s="158" t="str">
        <f t="shared" si="0"/>
        <v>S</v>
      </c>
      <c r="AG42" s="159">
        <f t="shared" si="1"/>
        <v>0.72</v>
      </c>
    </row>
    <row r="43" spans="1:33" ht="61.8" thickTop="1" x14ac:dyDescent="0.65">
      <c r="A43" s="142">
        <v>30</v>
      </c>
      <c r="B43" s="16" t="s">
        <v>174</v>
      </c>
      <c r="C43" s="86" t="s">
        <v>94</v>
      </c>
      <c r="D43" s="174" t="s">
        <v>54</v>
      </c>
      <c r="E43" s="166" t="s">
        <v>53</v>
      </c>
      <c r="F43" s="175" t="s">
        <v>53</v>
      </c>
      <c r="G43" s="176" t="s">
        <v>54</v>
      </c>
      <c r="H43" s="169" t="s">
        <v>53</v>
      </c>
      <c r="I43" s="177" t="s">
        <v>53</v>
      </c>
      <c r="J43" s="177" t="s">
        <v>53</v>
      </c>
      <c r="K43" s="177" t="s">
        <v>53</v>
      </c>
      <c r="L43" s="178" t="s">
        <v>54</v>
      </c>
      <c r="M43" s="179" t="s">
        <v>53</v>
      </c>
      <c r="N43" s="177" t="s">
        <v>53</v>
      </c>
      <c r="O43" s="177" t="s">
        <v>53</v>
      </c>
      <c r="P43" s="179" t="s">
        <v>54</v>
      </c>
      <c r="Q43" s="177" t="s">
        <v>53</v>
      </c>
      <c r="R43" s="177" t="s">
        <v>53</v>
      </c>
      <c r="S43" s="179" t="s">
        <v>53</v>
      </c>
      <c r="T43" s="177" t="s">
        <v>53</v>
      </c>
      <c r="U43" s="177" t="s">
        <v>54</v>
      </c>
      <c r="V43" s="177" t="s">
        <v>53</v>
      </c>
      <c r="W43" s="178" t="s">
        <v>53</v>
      </c>
      <c r="X43" s="179" t="s">
        <v>53</v>
      </c>
      <c r="Y43" s="177" t="s">
        <v>53</v>
      </c>
      <c r="Z43" s="177" t="s">
        <v>53</v>
      </c>
      <c r="AA43" s="177" t="s">
        <v>53</v>
      </c>
      <c r="AB43" s="178" t="s">
        <v>54</v>
      </c>
      <c r="AC43" s="164">
        <f t="shared" si="2"/>
        <v>19</v>
      </c>
      <c r="AD43" s="29">
        <f t="shared" si="3"/>
        <v>6</v>
      </c>
      <c r="AE43" s="139">
        <f t="shared" si="4"/>
        <v>0</v>
      </c>
      <c r="AF43" s="158" t="str">
        <f t="shared" si="0"/>
        <v>S</v>
      </c>
      <c r="AG43" s="159">
        <f t="shared" si="1"/>
        <v>0.76</v>
      </c>
    </row>
    <row r="44" spans="1:33" ht="61.2" x14ac:dyDescent="0.55000000000000004">
      <c r="A44" s="36">
        <v>31</v>
      </c>
      <c r="B44" s="14"/>
      <c r="C44" s="86"/>
      <c r="D44" s="174"/>
      <c r="E44" s="175"/>
      <c r="F44" s="175"/>
      <c r="G44" s="176"/>
      <c r="H44" s="167"/>
      <c r="I44" s="151"/>
      <c r="J44" s="151"/>
      <c r="K44" s="151"/>
      <c r="L44" s="168"/>
      <c r="M44" s="167"/>
      <c r="N44" s="151"/>
      <c r="O44" s="151"/>
      <c r="P44" s="151"/>
      <c r="Q44" s="151"/>
      <c r="R44" s="151"/>
      <c r="S44" s="167"/>
      <c r="T44" s="151"/>
      <c r="U44" s="151"/>
      <c r="V44" s="151"/>
      <c r="W44" s="168"/>
      <c r="X44" s="167"/>
      <c r="Y44" s="151"/>
      <c r="Z44" s="151"/>
      <c r="AA44" s="151"/>
      <c r="AB44" s="168"/>
      <c r="AC44" s="44" t="str">
        <f t="shared" si="2"/>
        <v/>
      </c>
      <c r="AD44" s="31" t="str">
        <f t="shared" si="3"/>
        <v/>
      </c>
      <c r="AE44" s="64" t="str">
        <f t="shared" si="4"/>
        <v/>
      </c>
      <c r="AF44" s="158" t="str">
        <f t="shared" si="0"/>
        <v>S</v>
      </c>
      <c r="AG44" s="159" t="e">
        <f t="shared" si="1"/>
        <v>#VALUE!</v>
      </c>
    </row>
    <row r="45" spans="1:33" ht="61.2" x14ac:dyDescent="0.65">
      <c r="A45" s="142">
        <v>32</v>
      </c>
      <c r="B45" s="16"/>
      <c r="C45" s="139"/>
      <c r="D45" s="169"/>
      <c r="E45" s="166"/>
      <c r="F45" s="166"/>
      <c r="G45" s="170"/>
      <c r="H45" s="169"/>
      <c r="I45" s="166"/>
      <c r="J45" s="166"/>
      <c r="K45" s="166"/>
      <c r="L45" s="170"/>
      <c r="M45" s="169"/>
      <c r="N45" s="166"/>
      <c r="O45" s="166"/>
      <c r="P45" s="166"/>
      <c r="Q45" s="166"/>
      <c r="R45" s="166"/>
      <c r="S45" s="169"/>
      <c r="T45" s="166"/>
      <c r="U45" s="166"/>
      <c r="V45" s="166"/>
      <c r="W45" s="170"/>
      <c r="X45" s="169"/>
      <c r="Y45" s="166"/>
      <c r="Z45" s="166"/>
      <c r="AA45" s="166"/>
      <c r="AB45" s="170"/>
      <c r="AC45" s="164" t="str">
        <f t="shared" si="2"/>
        <v/>
      </c>
      <c r="AD45" s="29" t="str">
        <f t="shared" si="3"/>
        <v/>
      </c>
      <c r="AE45" s="139" t="str">
        <f t="shared" si="4"/>
        <v/>
      </c>
      <c r="AF45" s="158" t="str">
        <f t="shared" si="0"/>
        <v>S</v>
      </c>
      <c r="AG45" s="159" t="e">
        <f t="shared" si="1"/>
        <v>#VALUE!</v>
      </c>
    </row>
    <row r="46" spans="1:33" ht="61.2" x14ac:dyDescent="0.55000000000000004">
      <c r="A46" s="36">
        <v>33</v>
      </c>
      <c r="B46" s="14"/>
      <c r="C46" s="86"/>
      <c r="D46" s="174"/>
      <c r="E46" s="175"/>
      <c r="F46" s="175"/>
      <c r="G46" s="176"/>
      <c r="H46" s="167"/>
      <c r="I46" s="151"/>
      <c r="J46" s="151"/>
      <c r="K46" s="151"/>
      <c r="L46" s="168"/>
      <c r="M46" s="167"/>
      <c r="N46" s="151"/>
      <c r="O46" s="151"/>
      <c r="P46" s="151"/>
      <c r="Q46" s="151"/>
      <c r="R46" s="151"/>
      <c r="S46" s="167"/>
      <c r="T46" s="151"/>
      <c r="U46" s="151"/>
      <c r="V46" s="151"/>
      <c r="W46" s="168"/>
      <c r="X46" s="167"/>
      <c r="Y46" s="151"/>
      <c r="Z46" s="151"/>
      <c r="AA46" s="151"/>
      <c r="AB46" s="168"/>
      <c r="AC46" s="44" t="str">
        <f t="shared" si="2"/>
        <v/>
      </c>
      <c r="AD46" s="31" t="str">
        <f t="shared" si="3"/>
        <v/>
      </c>
      <c r="AE46" s="64" t="str">
        <f t="shared" si="4"/>
        <v/>
      </c>
      <c r="AF46" s="158" t="str">
        <f t="shared" si="0"/>
        <v>S</v>
      </c>
      <c r="AG46" s="159" t="e">
        <f t="shared" si="1"/>
        <v>#VALUE!</v>
      </c>
    </row>
    <row r="47" spans="1:33" ht="61.2" x14ac:dyDescent="0.65">
      <c r="A47" s="142">
        <v>34</v>
      </c>
      <c r="B47" s="16"/>
      <c r="C47" s="139"/>
      <c r="D47" s="169"/>
      <c r="E47" s="166"/>
      <c r="F47" s="166"/>
      <c r="G47" s="170"/>
      <c r="H47" s="169"/>
      <c r="I47" s="166"/>
      <c r="J47" s="166"/>
      <c r="K47" s="166"/>
      <c r="L47" s="170"/>
      <c r="M47" s="169"/>
      <c r="N47" s="166"/>
      <c r="O47" s="166"/>
      <c r="P47" s="166"/>
      <c r="Q47" s="166"/>
      <c r="R47" s="166"/>
      <c r="S47" s="169"/>
      <c r="T47" s="166"/>
      <c r="U47" s="166"/>
      <c r="V47" s="166"/>
      <c r="W47" s="170"/>
      <c r="X47" s="169"/>
      <c r="Y47" s="166"/>
      <c r="Z47" s="166"/>
      <c r="AA47" s="166"/>
      <c r="AB47" s="170"/>
      <c r="AC47" s="164" t="str">
        <f t="shared" si="2"/>
        <v/>
      </c>
      <c r="AD47" s="29" t="str">
        <f t="shared" si="3"/>
        <v/>
      </c>
      <c r="AE47" s="139" t="str">
        <f t="shared" si="4"/>
        <v/>
      </c>
      <c r="AF47" s="158" t="str">
        <f t="shared" si="0"/>
        <v>S</v>
      </c>
      <c r="AG47" s="159" t="e">
        <f t="shared" si="1"/>
        <v>#VALUE!</v>
      </c>
    </row>
    <row r="48" spans="1:33" ht="61.2" x14ac:dyDescent="0.55000000000000004">
      <c r="A48" s="36">
        <v>35</v>
      </c>
      <c r="B48" s="14"/>
      <c r="C48" s="86"/>
      <c r="D48" s="174"/>
      <c r="E48" s="175"/>
      <c r="F48" s="175"/>
      <c r="G48" s="176"/>
      <c r="H48" s="167"/>
      <c r="I48" s="151"/>
      <c r="J48" s="151"/>
      <c r="K48" s="151"/>
      <c r="L48" s="168"/>
      <c r="M48" s="167"/>
      <c r="N48" s="151"/>
      <c r="O48" s="151"/>
      <c r="P48" s="151"/>
      <c r="Q48" s="151"/>
      <c r="R48" s="151"/>
      <c r="S48" s="167"/>
      <c r="T48" s="151"/>
      <c r="U48" s="151"/>
      <c r="V48" s="151"/>
      <c r="W48" s="168"/>
      <c r="X48" s="167"/>
      <c r="Y48" s="151"/>
      <c r="Z48" s="151"/>
      <c r="AA48" s="151"/>
      <c r="AB48" s="168"/>
      <c r="AC48" s="44" t="str">
        <f t="shared" si="2"/>
        <v/>
      </c>
      <c r="AD48" s="31" t="str">
        <f t="shared" si="3"/>
        <v/>
      </c>
      <c r="AE48" s="64" t="str">
        <f t="shared" si="4"/>
        <v/>
      </c>
      <c r="AF48" s="158" t="str">
        <f t="shared" si="0"/>
        <v>S</v>
      </c>
      <c r="AG48" s="159" t="e">
        <f t="shared" si="1"/>
        <v>#VALUE!</v>
      </c>
    </row>
    <row r="49" spans="1:33" ht="61.2" x14ac:dyDescent="0.65">
      <c r="A49" s="142">
        <v>36</v>
      </c>
      <c r="B49" s="16"/>
      <c r="C49" s="139"/>
      <c r="D49" s="169"/>
      <c r="E49" s="166"/>
      <c r="F49" s="166"/>
      <c r="G49" s="170"/>
      <c r="H49" s="169"/>
      <c r="I49" s="166"/>
      <c r="J49" s="166"/>
      <c r="K49" s="166"/>
      <c r="L49" s="170"/>
      <c r="M49" s="169"/>
      <c r="N49" s="166"/>
      <c r="O49" s="166"/>
      <c r="P49" s="166"/>
      <c r="Q49" s="166"/>
      <c r="R49" s="166"/>
      <c r="S49" s="169"/>
      <c r="T49" s="166"/>
      <c r="U49" s="166"/>
      <c r="V49" s="166"/>
      <c r="W49" s="170"/>
      <c r="X49" s="169"/>
      <c r="Y49" s="166"/>
      <c r="Z49" s="166"/>
      <c r="AA49" s="166"/>
      <c r="AB49" s="170"/>
      <c r="AC49" s="164" t="str">
        <f t="shared" si="2"/>
        <v/>
      </c>
      <c r="AD49" s="29" t="str">
        <f t="shared" si="3"/>
        <v/>
      </c>
      <c r="AE49" s="139" t="str">
        <f t="shared" si="4"/>
        <v/>
      </c>
      <c r="AF49" s="158" t="str">
        <f t="shared" si="0"/>
        <v>S</v>
      </c>
      <c r="AG49" s="159" t="e">
        <f t="shared" si="1"/>
        <v>#VALUE!</v>
      </c>
    </row>
    <row r="50" spans="1:33" ht="61.2" x14ac:dyDescent="0.55000000000000004">
      <c r="A50" s="36">
        <v>37</v>
      </c>
      <c r="B50" s="14"/>
      <c r="C50" s="86"/>
      <c r="D50" s="174"/>
      <c r="E50" s="175"/>
      <c r="F50" s="175"/>
      <c r="G50" s="176"/>
      <c r="H50" s="167"/>
      <c r="I50" s="151"/>
      <c r="J50" s="151"/>
      <c r="K50" s="151"/>
      <c r="L50" s="168"/>
      <c r="M50" s="167"/>
      <c r="N50" s="151"/>
      <c r="O50" s="151"/>
      <c r="P50" s="151"/>
      <c r="Q50" s="151"/>
      <c r="R50" s="151"/>
      <c r="S50" s="167"/>
      <c r="T50" s="151"/>
      <c r="U50" s="151"/>
      <c r="V50" s="151"/>
      <c r="W50" s="168"/>
      <c r="X50" s="167"/>
      <c r="Y50" s="151"/>
      <c r="Z50" s="151"/>
      <c r="AA50" s="151"/>
      <c r="AB50" s="168"/>
      <c r="AC50" s="44" t="str">
        <f t="shared" si="2"/>
        <v/>
      </c>
      <c r="AD50" s="31" t="str">
        <f t="shared" si="3"/>
        <v/>
      </c>
      <c r="AE50" s="64" t="str">
        <f t="shared" si="4"/>
        <v/>
      </c>
      <c r="AF50" s="158" t="str">
        <f t="shared" si="0"/>
        <v>S</v>
      </c>
      <c r="AG50" s="159" t="e">
        <f t="shared" si="1"/>
        <v>#VALUE!</v>
      </c>
    </row>
    <row r="51" spans="1:33" ht="61.2" x14ac:dyDescent="0.65">
      <c r="A51" s="142">
        <v>38</v>
      </c>
      <c r="B51" s="16"/>
      <c r="C51" s="139"/>
      <c r="D51" s="169"/>
      <c r="E51" s="166"/>
      <c r="F51" s="166"/>
      <c r="G51" s="170"/>
      <c r="H51" s="169"/>
      <c r="I51" s="166"/>
      <c r="J51" s="166"/>
      <c r="K51" s="166"/>
      <c r="L51" s="170"/>
      <c r="M51" s="169"/>
      <c r="N51" s="166"/>
      <c r="O51" s="166"/>
      <c r="P51" s="166"/>
      <c r="Q51" s="166"/>
      <c r="R51" s="166"/>
      <c r="S51" s="169"/>
      <c r="T51" s="166"/>
      <c r="U51" s="166"/>
      <c r="V51" s="166"/>
      <c r="W51" s="170"/>
      <c r="X51" s="169"/>
      <c r="Y51" s="166"/>
      <c r="Z51" s="166"/>
      <c r="AA51" s="166"/>
      <c r="AB51" s="170"/>
      <c r="AC51" s="164" t="str">
        <f t="shared" si="2"/>
        <v/>
      </c>
      <c r="AD51" s="29" t="str">
        <f t="shared" si="3"/>
        <v/>
      </c>
      <c r="AE51" s="139" t="str">
        <f t="shared" si="4"/>
        <v/>
      </c>
      <c r="AF51" s="158" t="str">
        <f t="shared" si="0"/>
        <v>S</v>
      </c>
      <c r="AG51" s="159" t="e">
        <f t="shared" si="1"/>
        <v>#VALUE!</v>
      </c>
    </row>
    <row r="52" spans="1:33" ht="61.2" x14ac:dyDescent="0.55000000000000004">
      <c r="A52" s="36">
        <v>39</v>
      </c>
      <c r="B52" s="14"/>
      <c r="C52" s="86"/>
      <c r="D52" s="174"/>
      <c r="E52" s="175"/>
      <c r="F52" s="175"/>
      <c r="G52" s="176"/>
      <c r="H52" s="167"/>
      <c r="I52" s="151"/>
      <c r="J52" s="151"/>
      <c r="K52" s="151"/>
      <c r="L52" s="168"/>
      <c r="M52" s="167"/>
      <c r="N52" s="151"/>
      <c r="O52" s="151"/>
      <c r="P52" s="151"/>
      <c r="Q52" s="151"/>
      <c r="R52" s="151"/>
      <c r="S52" s="167"/>
      <c r="T52" s="151"/>
      <c r="U52" s="151"/>
      <c r="V52" s="151"/>
      <c r="W52" s="168"/>
      <c r="X52" s="167"/>
      <c r="Y52" s="151"/>
      <c r="Z52" s="151"/>
      <c r="AA52" s="151"/>
      <c r="AB52" s="168"/>
      <c r="AC52" s="44" t="str">
        <f t="shared" si="2"/>
        <v/>
      </c>
      <c r="AD52" s="31" t="str">
        <f t="shared" si="3"/>
        <v/>
      </c>
      <c r="AE52" s="64" t="str">
        <f t="shared" si="4"/>
        <v/>
      </c>
      <c r="AF52" s="158" t="str">
        <f t="shared" si="0"/>
        <v>S</v>
      </c>
      <c r="AG52" s="159" t="e">
        <f t="shared" si="1"/>
        <v>#VALUE!</v>
      </c>
    </row>
    <row r="53" spans="1:33" ht="61.8" thickBot="1" x14ac:dyDescent="0.7">
      <c r="A53" s="142">
        <v>40</v>
      </c>
      <c r="B53" s="16"/>
      <c r="C53" s="139"/>
      <c r="D53" s="171"/>
      <c r="E53" s="172"/>
      <c r="F53" s="172"/>
      <c r="G53" s="172"/>
      <c r="H53" s="171"/>
      <c r="I53" s="172"/>
      <c r="J53" s="172"/>
      <c r="K53" s="172"/>
      <c r="L53" s="172"/>
      <c r="M53" s="171"/>
      <c r="N53" s="172"/>
      <c r="O53" s="172"/>
      <c r="P53" s="172"/>
      <c r="Q53" s="172"/>
      <c r="R53" s="172"/>
      <c r="S53" s="171"/>
      <c r="T53" s="172"/>
      <c r="U53" s="172"/>
      <c r="V53" s="172"/>
      <c r="W53" s="173"/>
      <c r="X53" s="171"/>
      <c r="Y53" s="172"/>
      <c r="Z53" s="172"/>
      <c r="AA53" s="172"/>
      <c r="AB53" s="172"/>
      <c r="AC53" s="165" t="str">
        <f t="shared" si="2"/>
        <v/>
      </c>
      <c r="AD53" s="137" t="str">
        <f t="shared" si="3"/>
        <v/>
      </c>
      <c r="AE53" s="157" t="str">
        <f t="shared" si="4"/>
        <v/>
      </c>
      <c r="AF53" s="158" t="str">
        <f t="shared" si="0"/>
        <v>S</v>
      </c>
      <c r="AG53" s="159" t="e">
        <f t="shared" si="1"/>
        <v>#VALUE!</v>
      </c>
    </row>
    <row r="54" spans="1:33" ht="15" thickTop="1" x14ac:dyDescent="0.3"/>
    <row r="55" spans="1:33" ht="33.6" x14ac:dyDescent="0.65">
      <c r="AC55" s="37"/>
    </row>
    <row r="57" spans="1:33" ht="15" thickBot="1" x14ac:dyDescent="0.35"/>
    <row r="58" spans="1:33" ht="34.799999999999997" thickTop="1" thickBot="1" x14ac:dyDescent="0.35">
      <c r="B58" s="247" t="s">
        <v>59</v>
      </c>
      <c r="C58" s="248"/>
      <c r="D58" s="17" t="s">
        <v>14</v>
      </c>
      <c r="E58" s="18" t="s">
        <v>15</v>
      </c>
      <c r="F58" s="19" t="s">
        <v>16</v>
      </c>
      <c r="G58" s="21" t="s">
        <v>17</v>
      </c>
      <c r="H58" s="33" t="s">
        <v>18</v>
      </c>
      <c r="I58" s="20" t="s">
        <v>19</v>
      </c>
      <c r="J58" s="18" t="s">
        <v>20</v>
      </c>
      <c r="K58" s="20" t="s">
        <v>21</v>
      </c>
      <c r="L58" s="34" t="s">
        <v>22</v>
      </c>
      <c r="M58" s="32" t="s">
        <v>23</v>
      </c>
      <c r="N58" s="18" t="s">
        <v>24</v>
      </c>
      <c r="O58" s="19" t="s">
        <v>25</v>
      </c>
      <c r="P58" s="19" t="s">
        <v>26</v>
      </c>
      <c r="Q58" s="19" t="s">
        <v>27</v>
      </c>
      <c r="R58" s="21" t="s">
        <v>28</v>
      </c>
      <c r="S58" s="32" t="s">
        <v>29</v>
      </c>
      <c r="T58" s="19" t="s">
        <v>30</v>
      </c>
      <c r="U58" s="19" t="s">
        <v>31</v>
      </c>
      <c r="V58" s="19" t="s">
        <v>32</v>
      </c>
      <c r="W58" s="35" t="s">
        <v>33</v>
      </c>
      <c r="X58" s="32" t="s">
        <v>34</v>
      </c>
      <c r="Y58" s="19" t="s">
        <v>35</v>
      </c>
      <c r="Z58" s="19" t="s">
        <v>36</v>
      </c>
      <c r="AA58" s="19" t="s">
        <v>37</v>
      </c>
      <c r="AB58" s="21" t="s">
        <v>38</v>
      </c>
    </row>
    <row r="59" spans="1:33" ht="34.200000000000003" thickTop="1" x14ac:dyDescent="0.65">
      <c r="B59" s="249" t="s">
        <v>60</v>
      </c>
      <c r="C59" s="250"/>
      <c r="D59" s="23">
        <f t="shared" ref="D59:AB59" si="5">COUNTIF(D14:D53,"✔️")</f>
        <v>5</v>
      </c>
      <c r="E59" s="23">
        <f t="shared" si="5"/>
        <v>16</v>
      </c>
      <c r="F59" s="23">
        <f t="shared" si="5"/>
        <v>22</v>
      </c>
      <c r="G59" s="24">
        <f t="shared" si="5"/>
        <v>3</v>
      </c>
      <c r="H59" s="22">
        <f t="shared" si="5"/>
        <v>22</v>
      </c>
      <c r="I59" s="23">
        <f t="shared" si="5"/>
        <v>10</v>
      </c>
      <c r="J59" s="23">
        <f t="shared" si="5"/>
        <v>25</v>
      </c>
      <c r="K59" s="23">
        <f t="shared" si="5"/>
        <v>15</v>
      </c>
      <c r="L59" s="24">
        <f t="shared" si="5"/>
        <v>13</v>
      </c>
      <c r="M59" s="22">
        <f t="shared" si="5"/>
        <v>6</v>
      </c>
      <c r="N59" s="23">
        <f t="shared" si="5"/>
        <v>15</v>
      </c>
      <c r="O59" s="23">
        <f t="shared" si="5"/>
        <v>20</v>
      </c>
      <c r="P59" s="23">
        <f t="shared" si="5"/>
        <v>13</v>
      </c>
      <c r="Q59" s="23">
        <f t="shared" si="5"/>
        <v>21</v>
      </c>
      <c r="R59" s="24">
        <f t="shared" si="5"/>
        <v>16</v>
      </c>
      <c r="S59" s="22">
        <f t="shared" si="5"/>
        <v>23</v>
      </c>
      <c r="T59" s="23">
        <f>COUNTIF(T14:T53,"✔️")</f>
        <v>22</v>
      </c>
      <c r="U59" s="23">
        <f t="shared" si="5"/>
        <v>8</v>
      </c>
      <c r="V59" s="23">
        <f t="shared" si="5"/>
        <v>25</v>
      </c>
      <c r="W59" s="24">
        <f t="shared" si="5"/>
        <v>24</v>
      </c>
      <c r="X59" s="22">
        <f>COUNTIF(X14:X53,"✔️")</f>
        <v>25</v>
      </c>
      <c r="Y59" s="23">
        <f t="shared" si="5"/>
        <v>11</v>
      </c>
      <c r="Z59" s="23">
        <f t="shared" si="5"/>
        <v>25</v>
      </c>
      <c r="AA59" s="23">
        <f t="shared" si="5"/>
        <v>17</v>
      </c>
      <c r="AB59" s="24">
        <f t="shared" si="5"/>
        <v>4</v>
      </c>
    </row>
    <row r="60" spans="1:33" ht="33.6" x14ac:dyDescent="0.65">
      <c r="B60" s="251" t="s">
        <v>61</v>
      </c>
      <c r="C60" s="252"/>
      <c r="D60" s="25">
        <f t="shared" ref="D60:AB60" si="6">COUNTIF(D14:D53,"❌")</f>
        <v>24</v>
      </c>
      <c r="E60" s="26">
        <f t="shared" si="6"/>
        <v>13</v>
      </c>
      <c r="F60" s="26">
        <f t="shared" si="6"/>
        <v>7</v>
      </c>
      <c r="G60" s="145">
        <f t="shared" si="6"/>
        <v>25</v>
      </c>
      <c r="H60" s="25">
        <f t="shared" si="6"/>
        <v>7</v>
      </c>
      <c r="I60" s="26">
        <f t="shared" si="6"/>
        <v>19</v>
      </c>
      <c r="J60" s="26">
        <f t="shared" si="6"/>
        <v>4</v>
      </c>
      <c r="K60" s="26">
        <f t="shared" si="6"/>
        <v>14</v>
      </c>
      <c r="L60" s="145">
        <f t="shared" si="6"/>
        <v>16</v>
      </c>
      <c r="M60" s="25">
        <f t="shared" si="6"/>
        <v>23</v>
      </c>
      <c r="N60" s="26">
        <f t="shared" si="6"/>
        <v>14</v>
      </c>
      <c r="O60" s="26">
        <f t="shared" si="6"/>
        <v>9</v>
      </c>
      <c r="P60" s="26">
        <f t="shared" si="6"/>
        <v>14</v>
      </c>
      <c r="Q60" s="26">
        <f t="shared" si="6"/>
        <v>8</v>
      </c>
      <c r="R60" s="145">
        <f t="shared" si="6"/>
        <v>12</v>
      </c>
      <c r="S60" s="25">
        <f t="shared" si="6"/>
        <v>6</v>
      </c>
      <c r="T60" s="26">
        <f>COUNTIF(T14:T53,"❌")</f>
        <v>7</v>
      </c>
      <c r="U60" s="26">
        <f t="shared" si="6"/>
        <v>21</v>
      </c>
      <c r="V60" s="26">
        <f t="shared" si="6"/>
        <v>4</v>
      </c>
      <c r="W60" s="145">
        <f t="shared" si="6"/>
        <v>5</v>
      </c>
      <c r="X60" s="25">
        <f t="shared" si="6"/>
        <v>4</v>
      </c>
      <c r="Y60" s="26">
        <f t="shared" si="6"/>
        <v>18</v>
      </c>
      <c r="Z60" s="26">
        <f t="shared" si="6"/>
        <v>4</v>
      </c>
      <c r="AA60" s="26">
        <f t="shared" si="6"/>
        <v>12</v>
      </c>
      <c r="AB60" s="145">
        <f t="shared" si="6"/>
        <v>25</v>
      </c>
    </row>
    <row r="61" spans="1:33" ht="34.200000000000003" thickBot="1" x14ac:dyDescent="0.7">
      <c r="B61" s="253" t="s">
        <v>62</v>
      </c>
      <c r="C61" s="254"/>
      <c r="D61" s="146">
        <f t="shared" ref="D61:AB61" si="7">COUNTIF(D14:D53,"➖")</f>
        <v>1</v>
      </c>
      <c r="E61" s="28">
        <f t="shared" si="7"/>
        <v>1</v>
      </c>
      <c r="F61" s="28">
        <f t="shared" si="7"/>
        <v>1</v>
      </c>
      <c r="G61" s="147">
        <f t="shared" si="7"/>
        <v>2</v>
      </c>
      <c r="H61" s="27">
        <f t="shared" si="7"/>
        <v>1</v>
      </c>
      <c r="I61" s="28">
        <f t="shared" si="7"/>
        <v>1</v>
      </c>
      <c r="J61" s="28">
        <f t="shared" si="7"/>
        <v>1</v>
      </c>
      <c r="K61" s="28">
        <f t="shared" si="7"/>
        <v>1</v>
      </c>
      <c r="L61" s="147">
        <f t="shared" si="7"/>
        <v>1</v>
      </c>
      <c r="M61" s="27">
        <f t="shared" si="7"/>
        <v>1</v>
      </c>
      <c r="N61" s="28">
        <f t="shared" si="7"/>
        <v>1</v>
      </c>
      <c r="O61" s="28">
        <f t="shared" si="7"/>
        <v>1</v>
      </c>
      <c r="P61" s="28">
        <f t="shared" si="7"/>
        <v>3</v>
      </c>
      <c r="Q61" s="28">
        <f t="shared" si="7"/>
        <v>1</v>
      </c>
      <c r="R61" s="147">
        <f t="shared" si="7"/>
        <v>2</v>
      </c>
      <c r="S61" s="27">
        <f t="shared" si="7"/>
        <v>1</v>
      </c>
      <c r="T61" s="28">
        <f>COUNTIF(T14:T53,"➖")</f>
        <v>1</v>
      </c>
      <c r="U61" s="28">
        <f t="shared" si="7"/>
        <v>1</v>
      </c>
      <c r="V61" s="28">
        <f t="shared" si="7"/>
        <v>1</v>
      </c>
      <c r="W61" s="147">
        <f t="shared" si="7"/>
        <v>1</v>
      </c>
      <c r="X61" s="27">
        <f t="shared" si="7"/>
        <v>1</v>
      </c>
      <c r="Y61" s="28">
        <f t="shared" si="7"/>
        <v>1</v>
      </c>
      <c r="Z61" s="28">
        <f t="shared" si="7"/>
        <v>1</v>
      </c>
      <c r="AA61" s="28">
        <f t="shared" si="7"/>
        <v>1</v>
      </c>
      <c r="AB61" s="147">
        <f t="shared" si="7"/>
        <v>1</v>
      </c>
    </row>
    <row r="62" spans="1:33" ht="15" thickTop="1" x14ac:dyDescent="0.3"/>
    <row r="63" spans="1:33" x14ac:dyDescent="0.3"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33" customFormat="1" x14ac:dyDescent="0.3"/>
    <row r="65" spans="1:52" x14ac:dyDescent="0.3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1:52" x14ac:dyDescent="0.3">
      <c r="C66"/>
      <c r="D66"/>
    </row>
    <row r="67" spans="1:52" x14ac:dyDescent="0.3">
      <c r="C67"/>
      <c r="D67"/>
    </row>
    <row r="70" spans="1:52" ht="105.6" customHeight="1" x14ac:dyDescent="0.3">
      <c r="D70" s="256" t="s">
        <v>87</v>
      </c>
      <c r="E70" s="257"/>
      <c r="F70" s="257"/>
      <c r="G70" s="257"/>
      <c r="H70" s="257"/>
      <c r="I70" s="257"/>
      <c r="J70" s="257"/>
      <c r="K70" s="258"/>
      <c r="L70" s="259" t="s">
        <v>88</v>
      </c>
      <c r="M70" s="260"/>
      <c r="N70" s="260"/>
      <c r="O70" s="260"/>
      <c r="P70" s="260"/>
      <c r="Q70" s="260"/>
      <c r="R70" s="260"/>
      <c r="S70" s="260"/>
      <c r="T70" s="260"/>
      <c r="U70" s="260"/>
      <c r="V70" s="260"/>
      <c r="W70" s="261"/>
      <c r="X70" s="262" t="s">
        <v>89</v>
      </c>
      <c r="Y70" s="263"/>
      <c r="Z70" s="263"/>
      <c r="AA70" s="263"/>
      <c r="AB70" s="264"/>
    </row>
    <row r="71" spans="1:52" ht="33.6" customHeight="1" x14ac:dyDescent="0.7">
      <c r="D71" s="40" t="str">
        <f>D58</f>
        <v>P1</v>
      </c>
      <c r="E71" s="40" t="str">
        <f>E58</f>
        <v>P2</v>
      </c>
      <c r="F71" s="40" t="str">
        <f>J58</f>
        <v>P7</v>
      </c>
      <c r="G71" s="40" t="str">
        <f>M58</f>
        <v>P10</v>
      </c>
      <c r="H71" s="40" t="str">
        <f>N58</f>
        <v>P11</v>
      </c>
      <c r="I71" s="40" t="str">
        <f>S58</f>
        <v>P16</v>
      </c>
      <c r="J71" s="40" t="str">
        <f>W58</f>
        <v>P20</v>
      </c>
      <c r="K71" s="40" t="str">
        <f>X58</f>
        <v>P21</v>
      </c>
      <c r="L71" s="41" t="str">
        <f>F58</f>
        <v>P3</v>
      </c>
      <c r="M71" s="41" t="str">
        <f>H58</f>
        <v>P5</v>
      </c>
      <c r="N71" s="41" t="str">
        <f>L58</f>
        <v>P9</v>
      </c>
      <c r="O71" s="41" t="str">
        <f t="shared" ref="O71:Q72" si="8">O58</f>
        <v>P12</v>
      </c>
      <c r="P71" s="41" t="str">
        <f t="shared" si="8"/>
        <v>P13</v>
      </c>
      <c r="Q71" s="41" t="str">
        <f t="shared" si="8"/>
        <v>P14</v>
      </c>
      <c r="R71" s="41" t="str">
        <f>T58</f>
        <v>P17</v>
      </c>
      <c r="S71" s="41" t="str">
        <f t="shared" ref="S71:T71" si="9">U58</f>
        <v>P18</v>
      </c>
      <c r="T71" s="41" t="str">
        <f t="shared" si="9"/>
        <v>P19</v>
      </c>
      <c r="U71" s="41" t="str">
        <f>Y58</f>
        <v>P22</v>
      </c>
      <c r="V71" s="41" t="str">
        <f t="shared" ref="V71:W71" si="10">Z58</f>
        <v>P23</v>
      </c>
      <c r="W71" s="41" t="str">
        <f t="shared" si="10"/>
        <v>P24</v>
      </c>
      <c r="X71" s="42" t="str">
        <f>G58</f>
        <v>P4</v>
      </c>
      <c r="Y71" s="42" t="str">
        <f>I58</f>
        <v>P6</v>
      </c>
      <c r="Z71" s="42" t="str">
        <f>K58</f>
        <v>P8</v>
      </c>
      <c r="AA71" s="42" t="str">
        <f>R58</f>
        <v>P15</v>
      </c>
      <c r="AB71" s="42" t="str">
        <f>AB58</f>
        <v>P25</v>
      </c>
      <c r="AC71" s="140"/>
      <c r="AD71" s="140"/>
    </row>
    <row r="72" spans="1:52" ht="33.6" customHeight="1" x14ac:dyDescent="0.65">
      <c r="B72" s="249" t="s">
        <v>60</v>
      </c>
      <c r="C72" s="250"/>
      <c r="D72" s="43">
        <f>D59</f>
        <v>5</v>
      </c>
      <c r="E72" s="43">
        <f>E59</f>
        <v>16</v>
      </c>
      <c r="F72" s="43">
        <f>J59</f>
        <v>25</v>
      </c>
      <c r="G72" s="43">
        <f>M59</f>
        <v>6</v>
      </c>
      <c r="H72" s="43">
        <f>N59</f>
        <v>15</v>
      </c>
      <c r="I72" s="43">
        <f>S59</f>
        <v>23</v>
      </c>
      <c r="J72" s="43">
        <f>W59</f>
        <v>24</v>
      </c>
      <c r="K72" s="43">
        <f>X59</f>
        <v>25</v>
      </c>
      <c r="L72" s="43">
        <f>F59</f>
        <v>22</v>
      </c>
      <c r="M72" s="43">
        <f>H59</f>
        <v>22</v>
      </c>
      <c r="N72" s="43">
        <f>L59</f>
        <v>13</v>
      </c>
      <c r="O72" s="43">
        <f t="shared" si="8"/>
        <v>20</v>
      </c>
      <c r="P72" s="43">
        <f t="shared" si="8"/>
        <v>13</v>
      </c>
      <c r="Q72" s="43">
        <f t="shared" si="8"/>
        <v>21</v>
      </c>
      <c r="R72" s="43">
        <f>T59</f>
        <v>22</v>
      </c>
      <c r="S72" s="43">
        <f>U59</f>
        <v>8</v>
      </c>
      <c r="T72" s="43">
        <f>V59</f>
        <v>25</v>
      </c>
      <c r="U72" s="43">
        <f>Y59</f>
        <v>11</v>
      </c>
      <c r="V72" s="43">
        <f>Z59</f>
        <v>25</v>
      </c>
      <c r="W72" s="43">
        <f>AA59</f>
        <v>17</v>
      </c>
      <c r="X72" s="43">
        <f>G59</f>
        <v>3</v>
      </c>
      <c r="Y72" s="43">
        <f>I59</f>
        <v>10</v>
      </c>
      <c r="Z72" s="43">
        <f>K59</f>
        <v>15</v>
      </c>
      <c r="AA72" s="43">
        <f>R59</f>
        <v>16</v>
      </c>
      <c r="AB72" s="43">
        <f>AB59</f>
        <v>4</v>
      </c>
    </row>
    <row r="73" spans="1:52" ht="33.6" x14ac:dyDescent="0.65">
      <c r="B73" s="251" t="s">
        <v>61</v>
      </c>
      <c r="C73" s="252"/>
      <c r="D73" s="38">
        <f t="shared" ref="D73:E73" si="11">D60</f>
        <v>24</v>
      </c>
      <c r="E73" s="38">
        <f t="shared" si="11"/>
        <v>13</v>
      </c>
      <c r="F73" s="38">
        <f t="shared" ref="F73:F74" si="12">J60</f>
        <v>4</v>
      </c>
      <c r="G73" s="38">
        <f t="shared" ref="G73:H73" si="13">M60</f>
        <v>23</v>
      </c>
      <c r="H73" s="38">
        <f t="shared" si="13"/>
        <v>14</v>
      </c>
      <c r="I73" s="38">
        <f t="shared" ref="I73:I74" si="14">S60</f>
        <v>6</v>
      </c>
      <c r="J73" s="38">
        <f t="shared" ref="J73:K73" si="15">W60</f>
        <v>5</v>
      </c>
      <c r="K73" s="38">
        <f t="shared" si="15"/>
        <v>4</v>
      </c>
      <c r="L73" s="38">
        <f t="shared" ref="L73:L74" si="16">F60</f>
        <v>7</v>
      </c>
      <c r="M73" s="38">
        <f t="shared" ref="M73:M74" si="17">H60</f>
        <v>7</v>
      </c>
      <c r="N73" s="38">
        <f t="shared" ref="N73:N74" si="18">L60</f>
        <v>16</v>
      </c>
      <c r="O73" s="38">
        <f t="shared" ref="O73:Q73" si="19">O60</f>
        <v>9</v>
      </c>
      <c r="P73" s="38">
        <f t="shared" si="19"/>
        <v>14</v>
      </c>
      <c r="Q73" s="38">
        <f t="shared" si="19"/>
        <v>8</v>
      </c>
      <c r="R73" s="38">
        <f t="shared" ref="R73:T73" si="20">T60</f>
        <v>7</v>
      </c>
      <c r="S73" s="38">
        <f t="shared" si="20"/>
        <v>21</v>
      </c>
      <c r="T73" s="38">
        <f t="shared" si="20"/>
        <v>4</v>
      </c>
      <c r="U73" s="38">
        <f t="shared" ref="U73:W73" si="21">Y60</f>
        <v>18</v>
      </c>
      <c r="V73" s="38">
        <f t="shared" si="21"/>
        <v>4</v>
      </c>
      <c r="W73" s="38">
        <f t="shared" si="21"/>
        <v>12</v>
      </c>
      <c r="X73" s="38">
        <f t="shared" ref="X73:X74" si="22">G60</f>
        <v>25</v>
      </c>
      <c r="Y73" s="38">
        <f t="shared" ref="Y73:Y74" si="23">I60</f>
        <v>19</v>
      </c>
      <c r="Z73" s="38">
        <f t="shared" ref="Z73:Z74" si="24">K60</f>
        <v>14</v>
      </c>
      <c r="AA73" s="38">
        <f t="shared" ref="AA73:AA74" si="25">R60</f>
        <v>12</v>
      </c>
      <c r="AB73" s="38">
        <f t="shared" ref="AB73:AB74" si="26">AB60</f>
        <v>25</v>
      </c>
    </row>
    <row r="74" spans="1:52" ht="34.200000000000003" thickBot="1" x14ac:dyDescent="0.7">
      <c r="B74" s="253" t="s">
        <v>62</v>
      </c>
      <c r="C74" s="254"/>
      <c r="D74" s="39">
        <f t="shared" ref="D74:E74" si="27">D61</f>
        <v>1</v>
      </c>
      <c r="E74" s="39">
        <f t="shared" si="27"/>
        <v>1</v>
      </c>
      <c r="F74" s="39">
        <f t="shared" si="12"/>
        <v>1</v>
      </c>
      <c r="G74" s="39">
        <f t="shared" ref="G74:H74" si="28">M61</f>
        <v>1</v>
      </c>
      <c r="H74" s="39">
        <f t="shared" si="28"/>
        <v>1</v>
      </c>
      <c r="I74" s="39">
        <f t="shared" si="14"/>
        <v>1</v>
      </c>
      <c r="J74" s="39">
        <f t="shared" ref="J74:K74" si="29">W61</f>
        <v>1</v>
      </c>
      <c r="K74" s="39">
        <f t="shared" si="29"/>
        <v>1</v>
      </c>
      <c r="L74" s="39">
        <f t="shared" si="16"/>
        <v>1</v>
      </c>
      <c r="M74" s="39">
        <f t="shared" si="17"/>
        <v>1</v>
      </c>
      <c r="N74" s="39">
        <f t="shared" si="18"/>
        <v>1</v>
      </c>
      <c r="O74" s="39">
        <f t="shared" ref="O74:Q74" si="30">O61</f>
        <v>1</v>
      </c>
      <c r="P74" s="39">
        <f t="shared" si="30"/>
        <v>3</v>
      </c>
      <c r="Q74" s="39">
        <f t="shared" si="30"/>
        <v>1</v>
      </c>
      <c r="R74" s="39">
        <f t="shared" ref="R74:T74" si="31">T61</f>
        <v>1</v>
      </c>
      <c r="S74" s="39">
        <f t="shared" si="31"/>
        <v>1</v>
      </c>
      <c r="T74" s="39">
        <f t="shared" si="31"/>
        <v>1</v>
      </c>
      <c r="U74" s="39">
        <f t="shared" ref="U74:W74" si="32">Y61</f>
        <v>1</v>
      </c>
      <c r="V74" s="39">
        <f t="shared" si="32"/>
        <v>1</v>
      </c>
      <c r="W74" s="39">
        <f t="shared" si="32"/>
        <v>1</v>
      </c>
      <c r="X74" s="39">
        <f t="shared" si="22"/>
        <v>2</v>
      </c>
      <c r="Y74" s="39">
        <f t="shared" si="23"/>
        <v>1</v>
      </c>
      <c r="Z74" s="39">
        <f t="shared" si="24"/>
        <v>1</v>
      </c>
      <c r="AA74" s="39">
        <f t="shared" si="25"/>
        <v>2</v>
      </c>
      <c r="AB74" s="39">
        <f t="shared" si="26"/>
        <v>1</v>
      </c>
    </row>
    <row r="75" spans="1:52" ht="31.8" thickTop="1" x14ac:dyDescent="0.6">
      <c r="W75" s="141"/>
    </row>
    <row r="76" spans="1:52" ht="31.2" x14ac:dyDescent="0.6">
      <c r="W76" s="141"/>
    </row>
    <row r="77" spans="1:52" ht="31.2" x14ac:dyDescent="0.6">
      <c r="W77" s="141"/>
    </row>
    <row r="78" spans="1:52" ht="131.4" customHeight="1" x14ac:dyDescent="0.3">
      <c r="D78" s="265" t="s">
        <v>87</v>
      </c>
      <c r="E78" s="265"/>
      <c r="F78" s="265"/>
      <c r="G78" s="265"/>
      <c r="H78" s="265"/>
      <c r="I78" s="265"/>
      <c r="J78" s="265"/>
      <c r="K78" s="265"/>
      <c r="L78" s="207" t="s">
        <v>88</v>
      </c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8" t="s">
        <v>89</v>
      </c>
      <c r="Y78" s="208"/>
      <c r="Z78" s="208"/>
      <c r="AA78" s="208"/>
      <c r="AB78" s="208"/>
      <c r="AC78" s="206" t="s">
        <v>106</v>
      </c>
      <c r="AD78" s="206"/>
      <c r="AE78" s="266"/>
      <c r="AF78" s="255" t="s">
        <v>110</v>
      </c>
      <c r="AG78" s="206" t="s">
        <v>107</v>
      </c>
      <c r="AH78" s="206"/>
      <c r="AI78" s="206"/>
      <c r="AJ78" s="255" t="s">
        <v>110</v>
      </c>
      <c r="AK78" s="206" t="s">
        <v>108</v>
      </c>
      <c r="AL78" s="206"/>
      <c r="AM78" s="206"/>
      <c r="AN78" s="255" t="s">
        <v>110</v>
      </c>
      <c r="AO78" s="255" t="s">
        <v>110</v>
      </c>
      <c r="AP78"/>
      <c r="AQ78"/>
      <c r="AR78"/>
      <c r="AS78"/>
    </row>
    <row r="79" spans="1:52" ht="117" customHeight="1" x14ac:dyDescent="0.65">
      <c r="A79" s="29" t="s">
        <v>12</v>
      </c>
      <c r="B79" s="227" t="s">
        <v>105</v>
      </c>
      <c r="C79" s="228"/>
      <c r="D79" s="40" t="str">
        <f>D13</f>
        <v>P1</v>
      </c>
      <c r="E79" s="40" t="s">
        <v>15</v>
      </c>
      <c r="F79" s="40" t="s">
        <v>20</v>
      </c>
      <c r="G79" s="40" t="s">
        <v>23</v>
      </c>
      <c r="H79" s="40" t="s">
        <v>24</v>
      </c>
      <c r="I79" s="40" t="s">
        <v>29</v>
      </c>
      <c r="J79" s="40" t="s">
        <v>33</v>
      </c>
      <c r="K79" s="40" t="s">
        <v>34</v>
      </c>
      <c r="L79" s="41" t="str">
        <f>F58</f>
        <v>P3</v>
      </c>
      <c r="M79" s="41" t="s">
        <v>18</v>
      </c>
      <c r="N79" s="41" t="s">
        <v>22</v>
      </c>
      <c r="O79" s="41" t="s">
        <v>25</v>
      </c>
      <c r="P79" s="41" t="s">
        <v>26</v>
      </c>
      <c r="Q79" s="41" t="s">
        <v>27</v>
      </c>
      <c r="R79" s="41" t="s">
        <v>30</v>
      </c>
      <c r="S79" s="41" t="s">
        <v>31</v>
      </c>
      <c r="T79" s="41" t="s">
        <v>32</v>
      </c>
      <c r="U79" s="41" t="s">
        <v>35</v>
      </c>
      <c r="V79" s="41" t="s">
        <v>36</v>
      </c>
      <c r="W79" s="41" t="s">
        <v>37</v>
      </c>
      <c r="X79" s="42" t="s">
        <v>17</v>
      </c>
      <c r="Y79" s="42" t="s">
        <v>19</v>
      </c>
      <c r="Z79" s="42" t="s">
        <v>21</v>
      </c>
      <c r="AA79" s="42" t="s">
        <v>28</v>
      </c>
      <c r="AB79" s="143" t="s">
        <v>38</v>
      </c>
      <c r="AC79" s="153" t="s">
        <v>56</v>
      </c>
      <c r="AD79" s="153" t="s">
        <v>57</v>
      </c>
      <c r="AE79" s="153" t="s">
        <v>58</v>
      </c>
      <c r="AF79" s="255"/>
      <c r="AG79" s="203" t="s">
        <v>56</v>
      </c>
      <c r="AH79" s="153" t="s">
        <v>57</v>
      </c>
      <c r="AI79" s="153" t="s">
        <v>58</v>
      </c>
      <c r="AJ79" s="255"/>
      <c r="AK79" s="153" t="s">
        <v>56</v>
      </c>
      <c r="AL79" s="153" t="s">
        <v>57</v>
      </c>
      <c r="AM79" s="153" t="s">
        <v>58</v>
      </c>
      <c r="AN79" s="255"/>
      <c r="AO79" s="255"/>
      <c r="AP79"/>
      <c r="AQ79"/>
      <c r="AR79"/>
      <c r="AS79"/>
    </row>
    <row r="80" spans="1:52" ht="61.8" thickBot="1" x14ac:dyDescent="0.75">
      <c r="A80" s="36">
        <v>1</v>
      </c>
      <c r="B80" s="222" t="str">
        <f>B14</f>
        <v>ARIMUYA GONZALES EDY</v>
      </c>
      <c r="C80" s="223"/>
      <c r="D80" s="40" t="str">
        <f>D14</f>
        <v>❌</v>
      </c>
      <c r="E80" s="40" t="str">
        <f>E14</f>
        <v>❌</v>
      </c>
      <c r="F80" s="40" t="str">
        <f>J14</f>
        <v>❌</v>
      </c>
      <c r="G80" s="40" t="str">
        <f>M14</f>
        <v>❌</v>
      </c>
      <c r="H80" s="40" t="str">
        <f>N14</f>
        <v>❌</v>
      </c>
      <c r="I80" s="40" t="str">
        <f>S14</f>
        <v>❌</v>
      </c>
      <c r="J80" s="40" t="str">
        <f>W14</f>
        <v>❌</v>
      </c>
      <c r="K80" s="40" t="str">
        <f>X14</f>
        <v>❌</v>
      </c>
      <c r="L80" s="41" t="str">
        <f>F14</f>
        <v>✔️</v>
      </c>
      <c r="M80" s="41" t="str">
        <f>H14</f>
        <v>✔️</v>
      </c>
      <c r="N80" s="41" t="str">
        <f>L14</f>
        <v>✔️</v>
      </c>
      <c r="O80" s="41" t="str">
        <f>O14</f>
        <v>✔️</v>
      </c>
      <c r="P80" s="41" t="str">
        <f>P14</f>
        <v>✔️</v>
      </c>
      <c r="Q80" s="41" t="str">
        <f>Q14</f>
        <v>✔️</v>
      </c>
      <c r="R80" s="41" t="str">
        <f>T14</f>
        <v>✔️</v>
      </c>
      <c r="S80" s="41" t="str">
        <f>U14</f>
        <v>✔️</v>
      </c>
      <c r="T80" s="41" t="str">
        <f>V14</f>
        <v>✔️</v>
      </c>
      <c r="U80" s="41" t="str">
        <f>Y14</f>
        <v>✔️</v>
      </c>
      <c r="V80" s="41" t="str">
        <f>Z14</f>
        <v>✔️</v>
      </c>
      <c r="W80" s="41" t="str">
        <f>AA14</f>
        <v>✔️</v>
      </c>
      <c r="X80" s="42" t="str">
        <f>G14</f>
        <v>✔️</v>
      </c>
      <c r="Y80" s="42" t="str">
        <f>I14</f>
        <v>✔️</v>
      </c>
      <c r="Z80" s="42" t="str">
        <f>K14</f>
        <v>✔️</v>
      </c>
      <c r="AA80" s="42" t="str">
        <f>R14</f>
        <v>✔️</v>
      </c>
      <c r="AB80" s="143" t="str">
        <f>AB14</f>
        <v>✔️</v>
      </c>
      <c r="AC80" s="152">
        <f>COUNTIF(D80:K80,"✔️")</f>
        <v>0</v>
      </c>
      <c r="AD80" s="152">
        <f>COUNTIF(D80:K80,"❌")</f>
        <v>8</v>
      </c>
      <c r="AE80" s="152">
        <f>COUNTIF(D80:K80,"➖")</f>
        <v>0</v>
      </c>
      <c r="AF80" s="155">
        <f>AC80/8</f>
        <v>0</v>
      </c>
      <c r="AG80" s="154">
        <f t="shared" ref="AG80:AG119" si="33">COUNTIF(L80:W80,"✔️")</f>
        <v>12</v>
      </c>
      <c r="AH80" s="152">
        <f t="shared" ref="AH80:AH119" si="34">COUNTIF(L80:W80,"❌")</f>
        <v>0</v>
      </c>
      <c r="AI80" s="152">
        <f t="shared" ref="AI80:AI119" si="35">COUNTIF(L80:W80,"➖")</f>
        <v>0</v>
      </c>
      <c r="AJ80" s="155">
        <f>AG80/12</f>
        <v>1</v>
      </c>
      <c r="AK80" s="154">
        <f t="shared" ref="AK80:AK119" si="36">COUNTIF(X80:AB80,"✔️")</f>
        <v>5</v>
      </c>
      <c r="AL80" s="152">
        <f t="shared" ref="AL80:AL119" si="37">COUNTIF(X80:AB80,"❌")</f>
        <v>0</v>
      </c>
      <c r="AM80" s="152">
        <f t="shared" ref="AM80:AM119" si="38">COUNTIF(X80:AB80,"➖")</f>
        <v>0</v>
      </c>
      <c r="AN80" s="155">
        <f>AK80/5</f>
        <v>1</v>
      </c>
      <c r="AO80" s="155">
        <f>AK80/5</f>
        <v>1</v>
      </c>
      <c r="AP80"/>
      <c r="AQ80"/>
      <c r="AR80"/>
      <c r="AS80"/>
      <c r="AU80" s="150"/>
      <c r="AZ80" s="1">
        <v>1</v>
      </c>
    </row>
    <row r="81" spans="1:45" ht="62.4" thickTop="1" thickBot="1" x14ac:dyDescent="0.7">
      <c r="A81" s="142">
        <v>2</v>
      </c>
      <c r="B81" s="220" t="str">
        <f>B15</f>
        <v>ARTEGA PEREZ DELIA</v>
      </c>
      <c r="C81" s="221"/>
      <c r="D81" s="40" t="str">
        <f t="shared" ref="D81:E119" si="39">D15</f>
        <v>❌</v>
      </c>
      <c r="E81" s="40" t="str">
        <f t="shared" si="39"/>
        <v>❌</v>
      </c>
      <c r="F81" s="40" t="str">
        <f t="shared" ref="F81:F119" si="40">J15</f>
        <v>❌</v>
      </c>
      <c r="G81" s="40" t="str">
        <f t="shared" ref="G81:H81" si="41">M15</f>
        <v>❌</v>
      </c>
      <c r="H81" s="40" t="str">
        <f t="shared" si="41"/>
        <v>❌</v>
      </c>
      <c r="I81" s="40" t="str">
        <f t="shared" ref="I81:I119" si="42">S15</f>
        <v>❌</v>
      </c>
      <c r="J81" s="40" t="str">
        <f t="shared" ref="J81:K81" si="43">W15</f>
        <v>❌</v>
      </c>
      <c r="K81" s="40" t="str">
        <f t="shared" si="43"/>
        <v>❌</v>
      </c>
      <c r="L81" s="41" t="str">
        <f t="shared" ref="L81:L119" si="44">F15</f>
        <v>✔️</v>
      </c>
      <c r="M81" s="41" t="str">
        <f t="shared" ref="M81:M119" si="45">H15</f>
        <v>✔️</v>
      </c>
      <c r="N81" s="41" t="str">
        <f t="shared" ref="N81:N119" si="46">L15</f>
        <v>✔️</v>
      </c>
      <c r="O81" s="41" t="str">
        <f t="shared" ref="O81:Q81" si="47">O15</f>
        <v>✔️</v>
      </c>
      <c r="P81" s="41" t="str">
        <f t="shared" si="47"/>
        <v>➖</v>
      </c>
      <c r="Q81" s="41" t="str">
        <f t="shared" si="47"/>
        <v>✔️</v>
      </c>
      <c r="R81" s="41" t="str">
        <f t="shared" ref="R81:T81" si="48">T15</f>
        <v>✔️</v>
      </c>
      <c r="S81" s="41" t="str">
        <f t="shared" si="48"/>
        <v>✔️</v>
      </c>
      <c r="T81" s="41" t="str">
        <f t="shared" si="48"/>
        <v>✔️</v>
      </c>
      <c r="U81" s="41" t="str">
        <f t="shared" ref="U81:W81" si="49">Y15</f>
        <v>✔️</v>
      </c>
      <c r="V81" s="41" t="str">
        <f t="shared" si="49"/>
        <v>✔️</v>
      </c>
      <c r="W81" s="41" t="str">
        <f t="shared" si="49"/>
        <v>✔️</v>
      </c>
      <c r="X81" s="42" t="str">
        <f t="shared" ref="X81:X119" si="50">G15</f>
        <v>➖</v>
      </c>
      <c r="Y81" s="42" t="str">
        <f t="shared" ref="Y81:Y119" si="51">I15</f>
        <v>✔️</v>
      </c>
      <c r="Z81" s="42" t="str">
        <f t="shared" ref="Z81:Z119" si="52">K15</f>
        <v>✔️</v>
      </c>
      <c r="AA81" s="42" t="str">
        <f t="shared" ref="AA81:AA119" si="53">R15</f>
        <v>➖</v>
      </c>
      <c r="AB81" s="42" t="str">
        <f t="shared" ref="AB81:AB119" si="54">AB15</f>
        <v>✔️</v>
      </c>
      <c r="AC81" s="57">
        <f t="shared" ref="AC81:AC119" si="55">COUNTIF(D81:K81,"✔️")</f>
        <v>0</v>
      </c>
      <c r="AD81" s="57">
        <f t="shared" ref="AD81:AD119" si="56">COUNTIF(D81:K81,"❌")</f>
        <v>8</v>
      </c>
      <c r="AE81" s="57">
        <f t="shared" ref="AE81:AE119" si="57">COUNTIF(D81:K81,"➖")</f>
        <v>0</v>
      </c>
      <c r="AF81" s="155">
        <f t="shared" ref="AF81:AF119" si="58">AC81/8</f>
        <v>0</v>
      </c>
      <c r="AG81" s="58">
        <f t="shared" si="33"/>
        <v>11</v>
      </c>
      <c r="AH81" s="57">
        <f t="shared" si="34"/>
        <v>0</v>
      </c>
      <c r="AI81" s="57">
        <f t="shared" si="35"/>
        <v>1</v>
      </c>
      <c r="AJ81" s="155">
        <f t="shared" ref="AJ81:AJ119" si="59">AG81/12</f>
        <v>0.91666666666666663</v>
      </c>
      <c r="AK81" s="58">
        <f t="shared" si="36"/>
        <v>3</v>
      </c>
      <c r="AL81" s="57">
        <f t="shared" si="37"/>
        <v>0</v>
      </c>
      <c r="AM81" s="57">
        <f t="shared" si="38"/>
        <v>2</v>
      </c>
      <c r="AN81" s="155">
        <f t="shared" ref="AN81:AN119" si="60">AK81/5</f>
        <v>0.6</v>
      </c>
      <c r="AO81" s="155">
        <f t="shared" ref="AO81:AO119" si="61">AK81/5</f>
        <v>0.6</v>
      </c>
      <c r="AP81"/>
      <c r="AQ81"/>
      <c r="AR81"/>
      <c r="AS81"/>
    </row>
    <row r="82" spans="1:45" ht="62.4" thickTop="1" thickBot="1" x14ac:dyDescent="0.7">
      <c r="A82" s="36">
        <v>3</v>
      </c>
      <c r="B82" s="222" t="str">
        <f t="shared" ref="B82:B119" si="62">B16</f>
        <v>AMASIFUEN MUÑOZ LENY</v>
      </c>
      <c r="C82" s="223"/>
      <c r="D82" s="40" t="str">
        <f t="shared" si="39"/>
        <v>❌</v>
      </c>
      <c r="E82" s="40" t="str">
        <f t="shared" si="39"/>
        <v>❌</v>
      </c>
      <c r="F82" s="40" t="str">
        <f t="shared" si="40"/>
        <v>❌</v>
      </c>
      <c r="G82" s="40" t="str">
        <f t="shared" ref="G82:H82" si="63">M16</f>
        <v>❌</v>
      </c>
      <c r="H82" s="40" t="str">
        <f t="shared" si="63"/>
        <v>❌</v>
      </c>
      <c r="I82" s="40" t="str">
        <f t="shared" si="42"/>
        <v>❌</v>
      </c>
      <c r="J82" s="40" t="str">
        <f t="shared" ref="J82:K82" si="64">W16</f>
        <v>❌</v>
      </c>
      <c r="K82" s="40" t="str">
        <f t="shared" si="64"/>
        <v>❌</v>
      </c>
      <c r="L82" s="41" t="str">
        <f t="shared" si="44"/>
        <v>❌</v>
      </c>
      <c r="M82" s="41" t="str">
        <f t="shared" si="45"/>
        <v>❌</v>
      </c>
      <c r="N82" s="41" t="str">
        <f t="shared" si="46"/>
        <v>❌</v>
      </c>
      <c r="O82" s="41" t="str">
        <f t="shared" ref="O82:Q82" si="65">O16</f>
        <v>❌</v>
      </c>
      <c r="P82" s="41" t="str">
        <f t="shared" si="65"/>
        <v>✔️</v>
      </c>
      <c r="Q82" s="41" t="str">
        <f t="shared" si="65"/>
        <v>✔️</v>
      </c>
      <c r="R82" s="41" t="str">
        <f t="shared" ref="R82:T82" si="66">T16</f>
        <v>✔️</v>
      </c>
      <c r="S82" s="41" t="str">
        <f t="shared" si="66"/>
        <v>✔️</v>
      </c>
      <c r="T82" s="41" t="str">
        <f t="shared" si="66"/>
        <v>✔️</v>
      </c>
      <c r="U82" s="41" t="str">
        <f t="shared" ref="U82:W82" si="67">Y16</f>
        <v>✔️</v>
      </c>
      <c r="V82" s="41" t="str">
        <f t="shared" si="67"/>
        <v>✔️</v>
      </c>
      <c r="W82" s="41" t="str">
        <f t="shared" si="67"/>
        <v>✔️</v>
      </c>
      <c r="X82" s="42" t="str">
        <f t="shared" si="50"/>
        <v>✔️</v>
      </c>
      <c r="Y82" s="42" t="str">
        <f t="shared" si="51"/>
        <v>✔️</v>
      </c>
      <c r="Z82" s="42" t="str">
        <f t="shared" si="52"/>
        <v>✔️</v>
      </c>
      <c r="AA82" s="42" t="str">
        <f t="shared" si="53"/>
        <v>✔️</v>
      </c>
      <c r="AB82" s="42" t="str">
        <f t="shared" si="54"/>
        <v>✔️</v>
      </c>
      <c r="AC82" s="57">
        <f t="shared" si="55"/>
        <v>0</v>
      </c>
      <c r="AD82" s="57">
        <f t="shared" si="56"/>
        <v>8</v>
      </c>
      <c r="AE82" s="57">
        <f t="shared" si="57"/>
        <v>0</v>
      </c>
      <c r="AF82" s="155">
        <f t="shared" si="58"/>
        <v>0</v>
      </c>
      <c r="AG82" s="58">
        <f t="shared" si="33"/>
        <v>8</v>
      </c>
      <c r="AH82" s="57">
        <f t="shared" si="34"/>
        <v>4</v>
      </c>
      <c r="AI82" s="57">
        <f t="shared" si="35"/>
        <v>0</v>
      </c>
      <c r="AJ82" s="155">
        <f t="shared" si="59"/>
        <v>0.66666666666666663</v>
      </c>
      <c r="AK82" s="58">
        <f t="shared" si="36"/>
        <v>5</v>
      </c>
      <c r="AL82" s="57">
        <f t="shared" si="37"/>
        <v>0</v>
      </c>
      <c r="AM82" s="57">
        <f t="shared" si="38"/>
        <v>0</v>
      </c>
      <c r="AN82" s="155">
        <f t="shared" si="60"/>
        <v>1</v>
      </c>
      <c r="AO82" s="191">
        <f t="shared" si="61"/>
        <v>1</v>
      </c>
      <c r="AP82"/>
      <c r="AQ82"/>
      <c r="AR82"/>
      <c r="AS82"/>
    </row>
    <row r="83" spans="1:45" ht="62.4" thickTop="1" thickBot="1" x14ac:dyDescent="0.7">
      <c r="A83" s="142">
        <v>4</v>
      </c>
      <c r="B83" s="220" t="str">
        <f t="shared" si="62"/>
        <v>ARIRAMA MOZOMBITE PEDRO</v>
      </c>
      <c r="C83" s="221"/>
      <c r="D83" s="40" t="str">
        <f t="shared" si="39"/>
        <v>❌</v>
      </c>
      <c r="E83" s="40" t="str">
        <f t="shared" si="39"/>
        <v>❌</v>
      </c>
      <c r="F83" s="40" t="str">
        <f t="shared" si="40"/>
        <v>❌</v>
      </c>
      <c r="G83" s="40" t="str">
        <f t="shared" ref="G83:H83" si="68">M17</f>
        <v>❌</v>
      </c>
      <c r="H83" s="40" t="str">
        <f t="shared" si="68"/>
        <v>❌</v>
      </c>
      <c r="I83" s="40" t="str">
        <f t="shared" si="42"/>
        <v>❌</v>
      </c>
      <c r="J83" s="40" t="str">
        <f t="shared" ref="J83:K83" si="69">W17</f>
        <v>❌</v>
      </c>
      <c r="K83" s="40" t="str">
        <f t="shared" si="69"/>
        <v>❌</v>
      </c>
      <c r="L83" s="41" t="str">
        <f t="shared" si="44"/>
        <v>✔️</v>
      </c>
      <c r="M83" s="41" t="str">
        <f t="shared" si="45"/>
        <v>✔️</v>
      </c>
      <c r="N83" s="41" t="str">
        <f t="shared" si="46"/>
        <v>✔️</v>
      </c>
      <c r="O83" s="41" t="str">
        <f t="shared" ref="O83:Q83" si="70">O17</f>
        <v>✔️</v>
      </c>
      <c r="P83" s="41" t="str">
        <f t="shared" si="70"/>
        <v>✔️</v>
      </c>
      <c r="Q83" s="41" t="str">
        <f t="shared" si="70"/>
        <v>✔️</v>
      </c>
      <c r="R83" s="41" t="str">
        <f t="shared" ref="R83:T83" si="71">T17</f>
        <v>✔️</v>
      </c>
      <c r="S83" s="41" t="str">
        <f t="shared" si="71"/>
        <v>✔️</v>
      </c>
      <c r="T83" s="41" t="str">
        <f t="shared" si="71"/>
        <v>✔️</v>
      </c>
      <c r="U83" s="41" t="str">
        <f t="shared" ref="U83:W83" si="72">Y17</f>
        <v>✔️</v>
      </c>
      <c r="V83" s="41" t="str">
        <f t="shared" si="72"/>
        <v>✔️</v>
      </c>
      <c r="W83" s="41" t="str">
        <f t="shared" si="72"/>
        <v>✔️</v>
      </c>
      <c r="X83" s="42" t="str">
        <f t="shared" si="50"/>
        <v>❌</v>
      </c>
      <c r="Y83" s="42" t="str">
        <f t="shared" si="51"/>
        <v>❌</v>
      </c>
      <c r="Z83" s="42" t="str">
        <f t="shared" si="52"/>
        <v>❌</v>
      </c>
      <c r="AA83" s="42" t="str">
        <f t="shared" si="53"/>
        <v>❌</v>
      </c>
      <c r="AB83" s="42" t="str">
        <f t="shared" si="54"/>
        <v>❌</v>
      </c>
      <c r="AC83" s="57">
        <f t="shared" si="55"/>
        <v>0</v>
      </c>
      <c r="AD83" s="57">
        <f t="shared" si="56"/>
        <v>8</v>
      </c>
      <c r="AE83" s="57">
        <f t="shared" si="57"/>
        <v>0</v>
      </c>
      <c r="AF83" s="155">
        <f t="shared" si="58"/>
        <v>0</v>
      </c>
      <c r="AG83" s="58">
        <f t="shared" si="33"/>
        <v>12</v>
      </c>
      <c r="AH83" s="57">
        <f t="shared" si="34"/>
        <v>0</v>
      </c>
      <c r="AI83" s="57">
        <f t="shared" si="35"/>
        <v>0</v>
      </c>
      <c r="AJ83" s="155">
        <f t="shared" si="59"/>
        <v>1</v>
      </c>
      <c r="AK83" s="58">
        <f t="shared" si="36"/>
        <v>0</v>
      </c>
      <c r="AL83" s="57">
        <f t="shared" si="37"/>
        <v>5</v>
      </c>
      <c r="AM83" s="57">
        <f t="shared" si="38"/>
        <v>0</v>
      </c>
      <c r="AN83" s="155">
        <f t="shared" si="60"/>
        <v>0</v>
      </c>
      <c r="AO83" s="155">
        <f t="shared" si="61"/>
        <v>0</v>
      </c>
      <c r="AP83"/>
      <c r="AQ83"/>
      <c r="AR83"/>
      <c r="AS83"/>
    </row>
    <row r="84" spans="1:45" ht="62.4" thickTop="1" thickBot="1" x14ac:dyDescent="0.7">
      <c r="A84" s="36">
        <v>5</v>
      </c>
      <c r="B84" s="222" t="str">
        <f t="shared" si="62"/>
        <v>BABILONIA TORRES MARIA</v>
      </c>
      <c r="C84" s="223"/>
      <c r="D84" s="40" t="str">
        <f t="shared" si="39"/>
        <v>✔️</v>
      </c>
      <c r="E84" s="40" t="str">
        <f t="shared" si="39"/>
        <v>✔️</v>
      </c>
      <c r="F84" s="40" t="str">
        <f t="shared" si="40"/>
        <v>✔️</v>
      </c>
      <c r="G84" s="40" t="str">
        <f t="shared" ref="G84:H84" si="73">M18</f>
        <v>✔️</v>
      </c>
      <c r="H84" s="40" t="str">
        <f t="shared" si="73"/>
        <v>✔️</v>
      </c>
      <c r="I84" s="40" t="str">
        <f t="shared" si="42"/>
        <v>✔️</v>
      </c>
      <c r="J84" s="40" t="str">
        <f t="shared" ref="J84:K84" si="74">W18</f>
        <v>✔️</v>
      </c>
      <c r="K84" s="40" t="str">
        <f t="shared" si="74"/>
        <v>✔️</v>
      </c>
      <c r="L84" s="41" t="str">
        <f t="shared" si="44"/>
        <v>❌</v>
      </c>
      <c r="M84" s="41" t="str">
        <f t="shared" si="45"/>
        <v>❌</v>
      </c>
      <c r="N84" s="41" t="str">
        <f t="shared" si="46"/>
        <v>❌</v>
      </c>
      <c r="O84" s="41" t="str">
        <f t="shared" ref="O84:Q84" si="75">O18</f>
        <v>❌</v>
      </c>
      <c r="P84" s="41" t="str">
        <f t="shared" si="75"/>
        <v>❌</v>
      </c>
      <c r="Q84" s="41" t="str">
        <f t="shared" si="75"/>
        <v>❌</v>
      </c>
      <c r="R84" s="41" t="str">
        <f t="shared" ref="R84:T84" si="76">T18</f>
        <v>❌</v>
      </c>
      <c r="S84" s="41" t="str">
        <f t="shared" si="76"/>
        <v>❌</v>
      </c>
      <c r="T84" s="41" t="str">
        <f t="shared" si="76"/>
        <v>❌</v>
      </c>
      <c r="U84" s="41" t="str">
        <f t="shared" ref="U84:W84" si="77">Y18</f>
        <v>❌</v>
      </c>
      <c r="V84" s="41" t="str">
        <f t="shared" si="77"/>
        <v>❌</v>
      </c>
      <c r="W84" s="41" t="str">
        <f t="shared" si="77"/>
        <v>❌</v>
      </c>
      <c r="X84" s="42" t="str">
        <f t="shared" si="50"/>
        <v>❌</v>
      </c>
      <c r="Y84" s="42" t="str">
        <f t="shared" si="51"/>
        <v>❌</v>
      </c>
      <c r="Z84" s="42" t="str">
        <f t="shared" si="52"/>
        <v>❌</v>
      </c>
      <c r="AA84" s="42" t="str">
        <f t="shared" si="53"/>
        <v>❌</v>
      </c>
      <c r="AB84" s="42" t="str">
        <f t="shared" si="54"/>
        <v>❌</v>
      </c>
      <c r="AC84" s="57">
        <f t="shared" si="55"/>
        <v>8</v>
      </c>
      <c r="AD84" s="57">
        <f t="shared" si="56"/>
        <v>0</v>
      </c>
      <c r="AE84" s="57">
        <f t="shared" si="57"/>
        <v>0</v>
      </c>
      <c r="AF84" s="155">
        <f t="shared" si="58"/>
        <v>1</v>
      </c>
      <c r="AG84" s="58">
        <f t="shared" si="33"/>
        <v>0</v>
      </c>
      <c r="AH84" s="57">
        <f t="shared" si="34"/>
        <v>12</v>
      </c>
      <c r="AI84" s="57">
        <f t="shared" si="35"/>
        <v>0</v>
      </c>
      <c r="AJ84" s="155">
        <f t="shared" si="59"/>
        <v>0</v>
      </c>
      <c r="AK84" s="58">
        <f t="shared" si="36"/>
        <v>0</v>
      </c>
      <c r="AL84" s="57">
        <f t="shared" si="37"/>
        <v>5</v>
      </c>
      <c r="AM84" s="57">
        <f t="shared" si="38"/>
        <v>0</v>
      </c>
      <c r="AN84" s="155">
        <f t="shared" si="60"/>
        <v>0</v>
      </c>
      <c r="AO84" s="155">
        <f t="shared" si="61"/>
        <v>0</v>
      </c>
      <c r="AP84"/>
      <c r="AQ84"/>
      <c r="AR84"/>
      <c r="AS84"/>
    </row>
    <row r="85" spans="1:45" ht="62.4" thickTop="1" thickBot="1" x14ac:dyDescent="0.7">
      <c r="A85" s="142">
        <v>6</v>
      </c>
      <c r="B85" s="220" t="str">
        <f t="shared" si="62"/>
        <v>BENZAQUEN MARIN ELDA</v>
      </c>
      <c r="C85" s="221"/>
      <c r="D85" s="40" t="str">
        <f t="shared" si="39"/>
        <v>✔️</v>
      </c>
      <c r="E85" s="40" t="str">
        <f t="shared" si="39"/>
        <v>✔️</v>
      </c>
      <c r="F85" s="40" t="str">
        <f t="shared" si="40"/>
        <v>✔️</v>
      </c>
      <c r="G85" s="40" t="str">
        <f t="shared" ref="G85:H85" si="78">M19</f>
        <v>✔️</v>
      </c>
      <c r="H85" s="40" t="str">
        <f t="shared" si="78"/>
        <v>✔️</v>
      </c>
      <c r="I85" s="40" t="str">
        <f t="shared" si="42"/>
        <v>✔️</v>
      </c>
      <c r="J85" s="40" t="str">
        <f t="shared" ref="J85:K85" si="79">W19</f>
        <v>✔️</v>
      </c>
      <c r="K85" s="40" t="str">
        <f t="shared" si="79"/>
        <v>✔️</v>
      </c>
      <c r="L85" s="41" t="str">
        <f t="shared" si="44"/>
        <v>❌</v>
      </c>
      <c r="M85" s="41" t="str">
        <f t="shared" si="45"/>
        <v>❌</v>
      </c>
      <c r="N85" s="41" t="str">
        <f t="shared" si="46"/>
        <v>❌</v>
      </c>
      <c r="O85" s="41" t="str">
        <f t="shared" ref="O85:Q85" si="80">O19</f>
        <v>❌</v>
      </c>
      <c r="P85" s="41" t="str">
        <f t="shared" si="80"/>
        <v>❌</v>
      </c>
      <c r="Q85" s="41" t="str">
        <f t="shared" si="80"/>
        <v>❌</v>
      </c>
      <c r="R85" s="41" t="str">
        <f t="shared" ref="R85:T85" si="81">T19</f>
        <v>❌</v>
      </c>
      <c r="S85" s="41" t="str">
        <f t="shared" si="81"/>
        <v>✔️</v>
      </c>
      <c r="T85" s="41" t="str">
        <f t="shared" si="81"/>
        <v>✔️</v>
      </c>
      <c r="U85" s="41" t="str">
        <f t="shared" ref="U85:W85" si="82">Y19</f>
        <v>✔️</v>
      </c>
      <c r="V85" s="41" t="str">
        <f t="shared" si="82"/>
        <v>✔️</v>
      </c>
      <c r="W85" s="41" t="str">
        <f t="shared" si="82"/>
        <v>✔️</v>
      </c>
      <c r="X85" s="42" t="str">
        <f t="shared" si="50"/>
        <v>✔️</v>
      </c>
      <c r="Y85" s="42" t="str">
        <f t="shared" si="51"/>
        <v>❌</v>
      </c>
      <c r="Z85" s="42" t="str">
        <f t="shared" si="52"/>
        <v>❌</v>
      </c>
      <c r="AA85" s="42" t="str">
        <f t="shared" si="53"/>
        <v>❌</v>
      </c>
      <c r="AB85" s="42" t="str">
        <f t="shared" si="54"/>
        <v>❌</v>
      </c>
      <c r="AC85" s="57">
        <f t="shared" si="55"/>
        <v>8</v>
      </c>
      <c r="AD85" s="57">
        <f t="shared" si="56"/>
        <v>0</v>
      </c>
      <c r="AE85" s="57">
        <f t="shared" si="57"/>
        <v>0</v>
      </c>
      <c r="AF85" s="155">
        <f t="shared" si="58"/>
        <v>1</v>
      </c>
      <c r="AG85" s="58">
        <f t="shared" si="33"/>
        <v>5</v>
      </c>
      <c r="AH85" s="57">
        <f t="shared" si="34"/>
        <v>7</v>
      </c>
      <c r="AI85" s="57">
        <f t="shared" si="35"/>
        <v>0</v>
      </c>
      <c r="AJ85" s="155">
        <f t="shared" si="59"/>
        <v>0.41666666666666669</v>
      </c>
      <c r="AK85" s="58">
        <f t="shared" si="36"/>
        <v>1</v>
      </c>
      <c r="AL85" s="57">
        <f t="shared" si="37"/>
        <v>4</v>
      </c>
      <c r="AM85" s="57">
        <f t="shared" si="38"/>
        <v>0</v>
      </c>
      <c r="AN85" s="155">
        <f t="shared" si="60"/>
        <v>0.2</v>
      </c>
      <c r="AO85" s="155">
        <f t="shared" si="61"/>
        <v>0.2</v>
      </c>
      <c r="AP85"/>
      <c r="AQ85"/>
      <c r="AR85"/>
      <c r="AS85"/>
    </row>
    <row r="86" spans="1:45" ht="62.4" thickTop="1" thickBot="1" x14ac:dyDescent="0.7">
      <c r="A86" s="36">
        <v>7</v>
      </c>
      <c r="B86" s="222" t="str">
        <f t="shared" si="62"/>
        <v>BARDALES BURGA LIA</v>
      </c>
      <c r="C86" s="223"/>
      <c r="D86" s="40" t="str">
        <f t="shared" si="39"/>
        <v>➖</v>
      </c>
      <c r="E86" s="40" t="str">
        <f t="shared" si="39"/>
        <v>➖</v>
      </c>
      <c r="F86" s="40" t="str">
        <f t="shared" si="40"/>
        <v>➖</v>
      </c>
      <c r="G86" s="40" t="str">
        <f t="shared" ref="G86:H86" si="83">M20</f>
        <v>➖</v>
      </c>
      <c r="H86" s="40" t="str">
        <f t="shared" si="83"/>
        <v>➖</v>
      </c>
      <c r="I86" s="40" t="str">
        <f t="shared" si="42"/>
        <v>➖</v>
      </c>
      <c r="J86" s="40" t="str">
        <f t="shared" ref="J86:K86" si="84">W20</f>
        <v>➖</v>
      </c>
      <c r="K86" s="40" t="str">
        <f t="shared" si="84"/>
        <v>➖</v>
      </c>
      <c r="L86" s="41" t="str">
        <f t="shared" si="44"/>
        <v>➖</v>
      </c>
      <c r="M86" s="41" t="str">
        <f t="shared" si="45"/>
        <v>➖</v>
      </c>
      <c r="N86" s="41" t="str">
        <f t="shared" si="46"/>
        <v>➖</v>
      </c>
      <c r="O86" s="41" t="str">
        <f t="shared" ref="O86:Q86" si="85">O20</f>
        <v>➖</v>
      </c>
      <c r="P86" s="41" t="str">
        <f t="shared" si="85"/>
        <v>➖</v>
      </c>
      <c r="Q86" s="41" t="str">
        <f t="shared" si="85"/>
        <v>➖</v>
      </c>
      <c r="R86" s="41" t="str">
        <f t="shared" ref="R86:T86" si="86">T20</f>
        <v>➖</v>
      </c>
      <c r="S86" s="41" t="str">
        <f t="shared" si="86"/>
        <v>➖</v>
      </c>
      <c r="T86" s="41" t="str">
        <f t="shared" si="86"/>
        <v>➖</v>
      </c>
      <c r="U86" s="41" t="str">
        <f t="shared" ref="U86:W86" si="87">Y20</f>
        <v>➖</v>
      </c>
      <c r="V86" s="41" t="str">
        <f t="shared" si="87"/>
        <v>➖</v>
      </c>
      <c r="W86" s="41" t="str">
        <f t="shared" si="87"/>
        <v>➖</v>
      </c>
      <c r="X86" s="42" t="str">
        <f t="shared" si="50"/>
        <v>➖</v>
      </c>
      <c r="Y86" s="42" t="str">
        <f t="shared" si="51"/>
        <v>➖</v>
      </c>
      <c r="Z86" s="42" t="str">
        <f t="shared" si="52"/>
        <v>➖</v>
      </c>
      <c r="AA86" s="42" t="str">
        <f t="shared" si="53"/>
        <v>➖</v>
      </c>
      <c r="AB86" s="42" t="str">
        <f t="shared" si="54"/>
        <v>➖</v>
      </c>
      <c r="AC86" s="57">
        <f t="shared" si="55"/>
        <v>0</v>
      </c>
      <c r="AD86" s="57">
        <f t="shared" si="56"/>
        <v>0</v>
      </c>
      <c r="AE86" s="57">
        <f t="shared" si="57"/>
        <v>8</v>
      </c>
      <c r="AF86" s="155">
        <f t="shared" si="58"/>
        <v>0</v>
      </c>
      <c r="AG86" s="58">
        <f t="shared" si="33"/>
        <v>0</v>
      </c>
      <c r="AH86" s="57">
        <f t="shared" si="34"/>
        <v>0</v>
      </c>
      <c r="AI86" s="57">
        <f t="shared" si="35"/>
        <v>12</v>
      </c>
      <c r="AJ86" s="155">
        <f t="shared" si="59"/>
        <v>0</v>
      </c>
      <c r="AK86" s="58">
        <f t="shared" si="36"/>
        <v>0</v>
      </c>
      <c r="AL86" s="57">
        <f t="shared" si="37"/>
        <v>0</v>
      </c>
      <c r="AM86" s="57">
        <f t="shared" si="38"/>
        <v>5</v>
      </c>
      <c r="AN86" s="155">
        <f t="shared" si="60"/>
        <v>0</v>
      </c>
      <c r="AO86" s="155">
        <f t="shared" si="61"/>
        <v>0</v>
      </c>
      <c r="AP86"/>
      <c r="AQ86"/>
      <c r="AR86"/>
      <c r="AS86"/>
    </row>
    <row r="87" spans="1:45" ht="62.4" thickTop="1" thickBot="1" x14ac:dyDescent="0.7">
      <c r="A87" s="142">
        <v>8</v>
      </c>
      <c r="B87" s="220" t="str">
        <f t="shared" si="62"/>
        <v>CARDENAS RUIZ ZULEMA</v>
      </c>
      <c r="C87" s="221"/>
      <c r="D87" s="40" t="str">
        <f t="shared" si="39"/>
        <v>✔️</v>
      </c>
      <c r="E87" s="40" t="str">
        <f t="shared" si="39"/>
        <v>✔️</v>
      </c>
      <c r="F87" s="40" t="str">
        <f t="shared" si="40"/>
        <v>✔️</v>
      </c>
      <c r="G87" s="40" t="str">
        <f t="shared" ref="G87:H87" si="88">M21</f>
        <v>✔️</v>
      </c>
      <c r="H87" s="40" t="str">
        <f t="shared" si="88"/>
        <v>✔️</v>
      </c>
      <c r="I87" s="40" t="str">
        <f t="shared" si="42"/>
        <v>✔️</v>
      </c>
      <c r="J87" s="40" t="str">
        <f t="shared" ref="J87:K87" si="89">W21</f>
        <v>✔️</v>
      </c>
      <c r="K87" s="40" t="str">
        <f t="shared" si="89"/>
        <v>✔️</v>
      </c>
      <c r="L87" s="41" t="str">
        <f t="shared" si="44"/>
        <v>❌</v>
      </c>
      <c r="M87" s="41" t="str">
        <f t="shared" si="45"/>
        <v>❌</v>
      </c>
      <c r="N87" s="41" t="str">
        <f t="shared" si="46"/>
        <v>❌</v>
      </c>
      <c r="O87" s="41" t="str">
        <f t="shared" ref="O87:Q87" si="90">O21</f>
        <v>❌</v>
      </c>
      <c r="P87" s="41" t="str">
        <f t="shared" si="90"/>
        <v>❌</v>
      </c>
      <c r="Q87" s="41" t="str">
        <f t="shared" si="90"/>
        <v>❌</v>
      </c>
      <c r="R87" s="41" t="str">
        <f t="shared" ref="R87:T87" si="91">T21</f>
        <v>❌</v>
      </c>
      <c r="S87" s="41" t="str">
        <f t="shared" si="91"/>
        <v>✔️</v>
      </c>
      <c r="T87" s="41" t="str">
        <f t="shared" si="91"/>
        <v>❌</v>
      </c>
      <c r="U87" s="41" t="str">
        <f t="shared" ref="U87:W87" si="92">Y21</f>
        <v>❌</v>
      </c>
      <c r="V87" s="41" t="str">
        <f t="shared" si="92"/>
        <v>❌</v>
      </c>
      <c r="W87" s="41" t="str">
        <f t="shared" si="92"/>
        <v>❌</v>
      </c>
      <c r="X87" s="42" t="str">
        <f t="shared" si="50"/>
        <v>❌</v>
      </c>
      <c r="Y87" s="42" t="str">
        <f t="shared" si="51"/>
        <v>❌</v>
      </c>
      <c r="Z87" s="42" t="str">
        <f t="shared" si="52"/>
        <v>❌</v>
      </c>
      <c r="AA87" s="42" t="str">
        <f t="shared" si="53"/>
        <v>❌</v>
      </c>
      <c r="AB87" s="42" t="str">
        <f t="shared" si="54"/>
        <v>❌</v>
      </c>
      <c r="AC87" s="57">
        <f t="shared" si="55"/>
        <v>8</v>
      </c>
      <c r="AD87" s="57">
        <f t="shared" si="56"/>
        <v>0</v>
      </c>
      <c r="AE87" s="57">
        <f t="shared" si="57"/>
        <v>0</v>
      </c>
      <c r="AF87" s="155">
        <f t="shared" si="58"/>
        <v>1</v>
      </c>
      <c r="AG87" s="58">
        <f t="shared" si="33"/>
        <v>1</v>
      </c>
      <c r="AH87" s="57">
        <f t="shared" si="34"/>
        <v>11</v>
      </c>
      <c r="AI87" s="57">
        <f t="shared" si="35"/>
        <v>0</v>
      </c>
      <c r="AJ87" s="155">
        <f t="shared" si="59"/>
        <v>8.3333333333333329E-2</v>
      </c>
      <c r="AK87" s="58">
        <f t="shared" si="36"/>
        <v>0</v>
      </c>
      <c r="AL87" s="57">
        <f t="shared" si="37"/>
        <v>5</v>
      </c>
      <c r="AM87" s="57">
        <f t="shared" si="38"/>
        <v>0</v>
      </c>
      <c r="AN87" s="155">
        <f t="shared" si="60"/>
        <v>0</v>
      </c>
      <c r="AO87" s="155">
        <f t="shared" si="61"/>
        <v>0</v>
      </c>
      <c r="AP87"/>
      <c r="AQ87"/>
      <c r="AR87"/>
      <c r="AS87"/>
    </row>
    <row r="88" spans="1:45" ht="62.4" thickTop="1" thickBot="1" x14ac:dyDescent="0.7">
      <c r="A88" s="36">
        <v>9</v>
      </c>
      <c r="B88" s="222" t="str">
        <f t="shared" si="62"/>
        <v>CAINAMARI LAULATE EDGAR</v>
      </c>
      <c r="C88" s="223"/>
      <c r="D88" s="40" t="str">
        <f t="shared" si="39"/>
        <v>✔️</v>
      </c>
      <c r="E88" s="40" t="str">
        <f t="shared" si="39"/>
        <v>✔️</v>
      </c>
      <c r="F88" s="40" t="str">
        <f t="shared" si="40"/>
        <v>✔️</v>
      </c>
      <c r="G88" s="40" t="str">
        <f t="shared" ref="G88:H88" si="93">M22</f>
        <v>✔️</v>
      </c>
      <c r="H88" s="40" t="str">
        <f t="shared" si="93"/>
        <v>✔️</v>
      </c>
      <c r="I88" s="40" t="str">
        <f t="shared" si="42"/>
        <v>✔️</v>
      </c>
      <c r="J88" s="40" t="str">
        <f t="shared" ref="J88:K88" si="94">W22</f>
        <v>✔️</v>
      </c>
      <c r="K88" s="40" t="str">
        <f t="shared" si="94"/>
        <v>✔️</v>
      </c>
      <c r="L88" s="41" t="str">
        <f t="shared" si="44"/>
        <v>❌</v>
      </c>
      <c r="M88" s="41" t="str">
        <f t="shared" si="45"/>
        <v>❌</v>
      </c>
      <c r="N88" s="41" t="str">
        <f t="shared" si="46"/>
        <v>❌</v>
      </c>
      <c r="O88" s="41" t="str">
        <f t="shared" ref="O88:Q88" si="95">O22</f>
        <v>❌</v>
      </c>
      <c r="P88" s="41" t="str">
        <f t="shared" si="95"/>
        <v>❌</v>
      </c>
      <c r="Q88" s="41" t="str">
        <f t="shared" si="95"/>
        <v>❌</v>
      </c>
      <c r="R88" s="41" t="str">
        <f t="shared" ref="R88:T88" si="96">T22</f>
        <v>❌</v>
      </c>
      <c r="S88" s="41" t="str">
        <f t="shared" si="96"/>
        <v>✔️</v>
      </c>
      <c r="T88" s="41" t="str">
        <f t="shared" si="96"/>
        <v>❌</v>
      </c>
      <c r="U88" s="41" t="str">
        <f t="shared" ref="U88:W88" si="97">Y22</f>
        <v>❌</v>
      </c>
      <c r="V88" s="41" t="str">
        <f t="shared" si="97"/>
        <v>❌</v>
      </c>
      <c r="W88" s="41" t="str">
        <f t="shared" si="97"/>
        <v>❌</v>
      </c>
      <c r="X88" s="42" t="str">
        <f t="shared" si="50"/>
        <v>❌</v>
      </c>
      <c r="Y88" s="42" t="str">
        <f t="shared" si="51"/>
        <v>❌</v>
      </c>
      <c r="Z88" s="42" t="str">
        <f t="shared" si="52"/>
        <v>❌</v>
      </c>
      <c r="AA88" s="42" t="str">
        <f t="shared" si="53"/>
        <v>❌</v>
      </c>
      <c r="AB88" s="42" t="str">
        <f t="shared" si="54"/>
        <v>✔️</v>
      </c>
      <c r="AC88" s="57">
        <f t="shared" si="55"/>
        <v>8</v>
      </c>
      <c r="AD88" s="57">
        <f t="shared" si="56"/>
        <v>0</v>
      </c>
      <c r="AE88" s="57">
        <f t="shared" si="57"/>
        <v>0</v>
      </c>
      <c r="AF88" s="155">
        <f t="shared" si="58"/>
        <v>1</v>
      </c>
      <c r="AG88" s="58">
        <f t="shared" si="33"/>
        <v>1</v>
      </c>
      <c r="AH88" s="57">
        <f t="shared" si="34"/>
        <v>11</v>
      </c>
      <c r="AI88" s="57">
        <f t="shared" si="35"/>
        <v>0</v>
      </c>
      <c r="AJ88" s="155">
        <f t="shared" si="59"/>
        <v>8.3333333333333329E-2</v>
      </c>
      <c r="AK88" s="58">
        <f t="shared" si="36"/>
        <v>1</v>
      </c>
      <c r="AL88" s="57">
        <f t="shared" si="37"/>
        <v>4</v>
      </c>
      <c r="AM88" s="57">
        <f t="shared" si="38"/>
        <v>0</v>
      </c>
      <c r="AN88" s="155">
        <f t="shared" si="60"/>
        <v>0.2</v>
      </c>
      <c r="AO88" s="155">
        <f t="shared" si="61"/>
        <v>0.2</v>
      </c>
      <c r="AP88"/>
      <c r="AQ88"/>
      <c r="AR88"/>
      <c r="AS88"/>
    </row>
    <row r="89" spans="1:45" ht="62.4" thickTop="1" thickBot="1" x14ac:dyDescent="0.7">
      <c r="A89" s="142">
        <v>10</v>
      </c>
      <c r="B89" s="220" t="str">
        <f t="shared" si="62"/>
        <v>CURINUQUI NAVAS MARCELO</v>
      </c>
      <c r="C89" s="221"/>
      <c r="D89" s="40" t="str">
        <f t="shared" si="39"/>
        <v>✔️</v>
      </c>
      <c r="E89" s="40" t="str">
        <f t="shared" si="39"/>
        <v>✔️</v>
      </c>
      <c r="F89" s="40" t="str">
        <f t="shared" si="40"/>
        <v>✔️</v>
      </c>
      <c r="G89" s="40" t="str">
        <f t="shared" ref="G89:H89" si="98">M23</f>
        <v>✔️</v>
      </c>
      <c r="H89" s="40" t="str">
        <f t="shared" si="98"/>
        <v>✔️</v>
      </c>
      <c r="I89" s="40" t="str">
        <f t="shared" si="42"/>
        <v>✔️</v>
      </c>
      <c r="J89" s="40" t="str">
        <f t="shared" ref="J89:K89" si="99">W23</f>
        <v>✔️</v>
      </c>
      <c r="K89" s="40" t="str">
        <f t="shared" si="99"/>
        <v>✔️</v>
      </c>
      <c r="L89" s="41" t="str">
        <f t="shared" si="44"/>
        <v>❌</v>
      </c>
      <c r="M89" s="41" t="str">
        <f t="shared" si="45"/>
        <v>❌</v>
      </c>
      <c r="N89" s="41" t="str">
        <f t="shared" si="46"/>
        <v>❌</v>
      </c>
      <c r="O89" s="41" t="str">
        <f t="shared" ref="O89:Q89" si="100">O23</f>
        <v>❌</v>
      </c>
      <c r="P89" s="41" t="str">
        <f t="shared" si="100"/>
        <v>❌</v>
      </c>
      <c r="Q89" s="41" t="str">
        <f t="shared" si="100"/>
        <v>❌</v>
      </c>
      <c r="R89" s="41" t="str">
        <f t="shared" ref="R89:T89" si="101">T23</f>
        <v>❌</v>
      </c>
      <c r="S89" s="41" t="str">
        <f t="shared" si="101"/>
        <v>✔️</v>
      </c>
      <c r="T89" s="41" t="str">
        <f t="shared" si="101"/>
        <v>❌</v>
      </c>
      <c r="U89" s="41" t="str">
        <f t="shared" ref="U89:W89" si="102">Y23</f>
        <v>❌</v>
      </c>
      <c r="V89" s="41" t="str">
        <f t="shared" si="102"/>
        <v>❌</v>
      </c>
      <c r="W89" s="41" t="str">
        <f t="shared" si="102"/>
        <v>✔️</v>
      </c>
      <c r="X89" s="42" t="str">
        <f t="shared" si="50"/>
        <v>❌</v>
      </c>
      <c r="Y89" s="42" t="str">
        <f t="shared" si="51"/>
        <v>❌</v>
      </c>
      <c r="Z89" s="42" t="str">
        <f t="shared" si="52"/>
        <v>❌</v>
      </c>
      <c r="AA89" s="42" t="str">
        <f t="shared" si="53"/>
        <v>❌</v>
      </c>
      <c r="AB89" s="42" t="str">
        <f t="shared" si="54"/>
        <v>❌</v>
      </c>
      <c r="AC89" s="57">
        <f t="shared" si="55"/>
        <v>8</v>
      </c>
      <c r="AD89" s="57">
        <f t="shared" si="56"/>
        <v>0</v>
      </c>
      <c r="AE89" s="57">
        <f t="shared" si="57"/>
        <v>0</v>
      </c>
      <c r="AF89" s="155">
        <f t="shared" si="58"/>
        <v>1</v>
      </c>
      <c r="AG89" s="58">
        <f t="shared" si="33"/>
        <v>2</v>
      </c>
      <c r="AH89" s="57">
        <f t="shared" si="34"/>
        <v>10</v>
      </c>
      <c r="AI89" s="57">
        <f t="shared" si="35"/>
        <v>0</v>
      </c>
      <c r="AJ89" s="155">
        <f t="shared" si="59"/>
        <v>0.16666666666666666</v>
      </c>
      <c r="AK89" s="58">
        <f t="shared" si="36"/>
        <v>0</v>
      </c>
      <c r="AL89" s="57">
        <f t="shared" si="37"/>
        <v>5</v>
      </c>
      <c r="AM89" s="57">
        <f t="shared" si="38"/>
        <v>0</v>
      </c>
      <c r="AN89" s="155">
        <f t="shared" si="60"/>
        <v>0</v>
      </c>
      <c r="AO89" s="155">
        <f t="shared" si="61"/>
        <v>0</v>
      </c>
      <c r="AP89"/>
      <c r="AQ89"/>
      <c r="AR89"/>
      <c r="AS89"/>
    </row>
    <row r="90" spans="1:45" ht="62.4" thickTop="1" thickBot="1" x14ac:dyDescent="0.7">
      <c r="A90" s="36">
        <v>11</v>
      </c>
      <c r="B90" s="222" t="str">
        <f t="shared" si="62"/>
        <v>DAMASO DANCOURT MARIELA</v>
      </c>
      <c r="C90" s="223"/>
      <c r="D90" s="40" t="str">
        <f t="shared" si="39"/>
        <v>❌</v>
      </c>
      <c r="E90" s="40" t="str">
        <f t="shared" si="39"/>
        <v>❌</v>
      </c>
      <c r="F90" s="40" t="str">
        <f t="shared" si="40"/>
        <v>✔️</v>
      </c>
      <c r="G90" s="40" t="str">
        <f t="shared" ref="G90:H90" si="103">M24</f>
        <v>❌</v>
      </c>
      <c r="H90" s="40" t="str">
        <f t="shared" si="103"/>
        <v>❌</v>
      </c>
      <c r="I90" s="40" t="str">
        <f t="shared" si="42"/>
        <v>❌</v>
      </c>
      <c r="J90" s="40" t="str">
        <f t="shared" ref="J90:K90" si="104">W24</f>
        <v>❌</v>
      </c>
      <c r="K90" s="40" t="str">
        <f t="shared" si="104"/>
        <v>✔️</v>
      </c>
      <c r="L90" s="41" t="str">
        <f t="shared" si="44"/>
        <v>✔️</v>
      </c>
      <c r="M90" s="41" t="str">
        <f t="shared" si="45"/>
        <v>✔️</v>
      </c>
      <c r="N90" s="41" t="str">
        <f t="shared" si="46"/>
        <v>✔️</v>
      </c>
      <c r="O90" s="41" t="str">
        <f t="shared" ref="O90:Q90" si="105">O24</f>
        <v>❌</v>
      </c>
      <c r="P90" s="41" t="str">
        <f t="shared" si="105"/>
        <v>➖</v>
      </c>
      <c r="Q90" s="41" t="str">
        <f t="shared" si="105"/>
        <v>❌</v>
      </c>
      <c r="R90" s="41" t="str">
        <f t="shared" ref="R90:T90" si="106">T24</f>
        <v>❌</v>
      </c>
      <c r="S90" s="41" t="str">
        <f t="shared" si="106"/>
        <v>❌</v>
      </c>
      <c r="T90" s="41" t="str">
        <f t="shared" si="106"/>
        <v>✔️</v>
      </c>
      <c r="U90" s="41" t="str">
        <f t="shared" ref="U90:W90" si="107">Y24</f>
        <v>❌</v>
      </c>
      <c r="V90" s="41" t="str">
        <f t="shared" si="107"/>
        <v>✔️</v>
      </c>
      <c r="W90" s="41" t="str">
        <f t="shared" si="107"/>
        <v>✔️</v>
      </c>
      <c r="X90" s="42" t="str">
        <f t="shared" si="50"/>
        <v>❌</v>
      </c>
      <c r="Y90" s="42" t="str">
        <f t="shared" si="51"/>
        <v>❌</v>
      </c>
      <c r="Z90" s="42" t="str">
        <f t="shared" si="52"/>
        <v>❌</v>
      </c>
      <c r="AA90" s="42" t="str">
        <f t="shared" si="53"/>
        <v>✔️</v>
      </c>
      <c r="AB90" s="42" t="str">
        <f t="shared" si="54"/>
        <v>❌</v>
      </c>
      <c r="AC90" s="57">
        <f t="shared" si="55"/>
        <v>2</v>
      </c>
      <c r="AD90" s="57">
        <f t="shared" si="56"/>
        <v>6</v>
      </c>
      <c r="AE90" s="57">
        <f t="shared" si="57"/>
        <v>0</v>
      </c>
      <c r="AF90" s="155">
        <f t="shared" si="58"/>
        <v>0.25</v>
      </c>
      <c r="AG90" s="58">
        <f t="shared" si="33"/>
        <v>6</v>
      </c>
      <c r="AH90" s="57">
        <f t="shared" si="34"/>
        <v>5</v>
      </c>
      <c r="AI90" s="57">
        <f t="shared" si="35"/>
        <v>1</v>
      </c>
      <c r="AJ90" s="155">
        <f t="shared" si="59"/>
        <v>0.5</v>
      </c>
      <c r="AK90" s="58">
        <f t="shared" si="36"/>
        <v>1</v>
      </c>
      <c r="AL90" s="57">
        <f t="shared" si="37"/>
        <v>4</v>
      </c>
      <c r="AM90" s="57">
        <f t="shared" si="38"/>
        <v>0</v>
      </c>
      <c r="AN90" s="155">
        <f t="shared" si="60"/>
        <v>0.2</v>
      </c>
      <c r="AO90" s="155">
        <f t="shared" si="61"/>
        <v>0.2</v>
      </c>
      <c r="AP90"/>
      <c r="AQ90"/>
      <c r="AR90"/>
      <c r="AS90"/>
    </row>
    <row r="91" spans="1:45" ht="62.4" thickTop="1" thickBot="1" x14ac:dyDescent="0.7">
      <c r="A91" s="142">
        <v>12</v>
      </c>
      <c r="B91" s="220" t="str">
        <f t="shared" si="62"/>
        <v>DORADO TEVES MARIO</v>
      </c>
      <c r="C91" s="221"/>
      <c r="D91" s="40" t="str">
        <f t="shared" si="39"/>
        <v>❌</v>
      </c>
      <c r="E91" s="40" t="str">
        <f t="shared" si="39"/>
        <v>❌</v>
      </c>
      <c r="F91" s="40" t="str">
        <f t="shared" si="40"/>
        <v>✔️</v>
      </c>
      <c r="G91" s="40" t="str">
        <f t="shared" ref="G91:H91" si="108">M25</f>
        <v>❌</v>
      </c>
      <c r="H91" s="40" t="str">
        <f t="shared" si="108"/>
        <v>❌</v>
      </c>
      <c r="I91" s="40" t="str">
        <f t="shared" si="42"/>
        <v>✔️</v>
      </c>
      <c r="J91" s="40" t="str">
        <f t="shared" ref="J91:K91" si="109">W25</f>
        <v>✔️</v>
      </c>
      <c r="K91" s="40" t="str">
        <f t="shared" si="109"/>
        <v>✔️</v>
      </c>
      <c r="L91" s="41" t="str">
        <f t="shared" si="44"/>
        <v>✔️</v>
      </c>
      <c r="M91" s="41" t="str">
        <f t="shared" si="45"/>
        <v>✔️</v>
      </c>
      <c r="N91" s="41" t="str">
        <f t="shared" si="46"/>
        <v>✔️</v>
      </c>
      <c r="O91" s="41" t="str">
        <f t="shared" ref="O91:Q91" si="110">O25</f>
        <v>✔️</v>
      </c>
      <c r="P91" s="41" t="str">
        <f t="shared" si="110"/>
        <v>✔️</v>
      </c>
      <c r="Q91" s="41" t="str">
        <f t="shared" si="110"/>
        <v>✔️</v>
      </c>
      <c r="R91" s="41" t="str">
        <f t="shared" ref="R91:T91" si="111">T25</f>
        <v>✔️</v>
      </c>
      <c r="S91" s="41" t="str">
        <f t="shared" si="111"/>
        <v>❌</v>
      </c>
      <c r="T91" s="41" t="str">
        <f t="shared" si="111"/>
        <v>✔️</v>
      </c>
      <c r="U91" s="41" t="str">
        <f t="shared" ref="U91:W91" si="112">Y25</f>
        <v>❌</v>
      </c>
      <c r="V91" s="41" t="str">
        <f t="shared" si="112"/>
        <v>✔️</v>
      </c>
      <c r="W91" s="41" t="str">
        <f t="shared" si="112"/>
        <v>✔️</v>
      </c>
      <c r="X91" s="42" t="str">
        <f t="shared" si="50"/>
        <v>❌</v>
      </c>
      <c r="Y91" s="42" t="str">
        <f t="shared" si="51"/>
        <v>❌</v>
      </c>
      <c r="Z91" s="42" t="str">
        <f t="shared" si="52"/>
        <v>✔️</v>
      </c>
      <c r="AA91" s="42" t="str">
        <f t="shared" si="53"/>
        <v>✔️</v>
      </c>
      <c r="AB91" s="42" t="str">
        <f t="shared" si="54"/>
        <v>❌</v>
      </c>
      <c r="AC91" s="57">
        <f t="shared" si="55"/>
        <v>4</v>
      </c>
      <c r="AD91" s="57">
        <f t="shared" si="56"/>
        <v>4</v>
      </c>
      <c r="AE91" s="57">
        <f t="shared" si="57"/>
        <v>0</v>
      </c>
      <c r="AF91" s="155">
        <f t="shared" si="58"/>
        <v>0.5</v>
      </c>
      <c r="AG91" s="58">
        <f t="shared" si="33"/>
        <v>10</v>
      </c>
      <c r="AH91" s="57">
        <f t="shared" si="34"/>
        <v>2</v>
      </c>
      <c r="AI91" s="57">
        <f t="shared" si="35"/>
        <v>0</v>
      </c>
      <c r="AJ91" s="155">
        <f t="shared" si="59"/>
        <v>0.83333333333333337</v>
      </c>
      <c r="AK91" s="58">
        <f t="shared" si="36"/>
        <v>2</v>
      </c>
      <c r="AL91" s="57">
        <f t="shared" si="37"/>
        <v>3</v>
      </c>
      <c r="AM91" s="57">
        <f t="shared" si="38"/>
        <v>0</v>
      </c>
      <c r="AN91" s="155">
        <f t="shared" si="60"/>
        <v>0.4</v>
      </c>
      <c r="AO91" s="155">
        <f t="shared" si="61"/>
        <v>0.4</v>
      </c>
      <c r="AP91"/>
      <c r="AQ91"/>
      <c r="AR91"/>
      <c r="AS91"/>
    </row>
    <row r="92" spans="1:45" ht="62.4" thickTop="1" thickBot="1" x14ac:dyDescent="0.7">
      <c r="A92" s="36">
        <v>13</v>
      </c>
      <c r="B92" s="222" t="str">
        <f t="shared" si="62"/>
        <v>FERNANDEZ TUISIA ERNESTO</v>
      </c>
      <c r="C92" s="223"/>
      <c r="D92" s="40" t="str">
        <f t="shared" si="39"/>
        <v>❌</v>
      </c>
      <c r="E92" s="40" t="str">
        <f t="shared" si="39"/>
        <v>❌</v>
      </c>
      <c r="F92" s="40" t="str">
        <f t="shared" si="40"/>
        <v>✔️</v>
      </c>
      <c r="G92" s="40" t="str">
        <f t="shared" ref="G92:H92" si="113">M26</f>
        <v>❌</v>
      </c>
      <c r="H92" s="40" t="str">
        <f t="shared" si="113"/>
        <v>❌</v>
      </c>
      <c r="I92" s="40" t="str">
        <f t="shared" si="42"/>
        <v>✔️</v>
      </c>
      <c r="J92" s="40" t="str">
        <f t="shared" ref="J92:K92" si="114">W26</f>
        <v>✔️</v>
      </c>
      <c r="K92" s="40" t="str">
        <f t="shared" si="114"/>
        <v>✔️</v>
      </c>
      <c r="L92" s="41" t="str">
        <f t="shared" si="44"/>
        <v>✔️</v>
      </c>
      <c r="M92" s="41" t="str">
        <f t="shared" si="45"/>
        <v>✔️</v>
      </c>
      <c r="N92" s="41" t="str">
        <f t="shared" si="46"/>
        <v>✔️</v>
      </c>
      <c r="O92" s="41" t="str">
        <f t="shared" ref="O92:Q92" si="115">O26</f>
        <v>✔️</v>
      </c>
      <c r="P92" s="41" t="str">
        <f t="shared" si="115"/>
        <v>✔️</v>
      </c>
      <c r="Q92" s="41" t="str">
        <f t="shared" si="115"/>
        <v>✔️</v>
      </c>
      <c r="R92" s="41" t="str">
        <f t="shared" ref="R92:T92" si="116">T26</f>
        <v>✔️</v>
      </c>
      <c r="S92" s="41" t="str">
        <f t="shared" si="116"/>
        <v>❌</v>
      </c>
      <c r="T92" s="41" t="str">
        <f t="shared" si="116"/>
        <v>✔️</v>
      </c>
      <c r="U92" s="41" t="str">
        <f t="shared" ref="U92:W92" si="117">Y26</f>
        <v>❌</v>
      </c>
      <c r="V92" s="41" t="str">
        <f t="shared" si="117"/>
        <v>✔️</v>
      </c>
      <c r="W92" s="41" t="str">
        <f t="shared" si="117"/>
        <v>✔️</v>
      </c>
      <c r="X92" s="42" t="str">
        <f t="shared" si="50"/>
        <v>❌</v>
      </c>
      <c r="Y92" s="42" t="str">
        <f t="shared" si="51"/>
        <v>❌</v>
      </c>
      <c r="Z92" s="42" t="str">
        <f t="shared" si="52"/>
        <v>✔️</v>
      </c>
      <c r="AA92" s="42" t="str">
        <f t="shared" si="53"/>
        <v>❌</v>
      </c>
      <c r="AB92" s="42" t="str">
        <f t="shared" si="54"/>
        <v>❌</v>
      </c>
      <c r="AC92" s="57">
        <f t="shared" si="55"/>
        <v>4</v>
      </c>
      <c r="AD92" s="57">
        <f t="shared" si="56"/>
        <v>4</v>
      </c>
      <c r="AE92" s="57">
        <f t="shared" si="57"/>
        <v>0</v>
      </c>
      <c r="AF92" s="155">
        <f t="shared" si="58"/>
        <v>0.5</v>
      </c>
      <c r="AG92" s="58">
        <f t="shared" si="33"/>
        <v>10</v>
      </c>
      <c r="AH92" s="57">
        <f t="shared" si="34"/>
        <v>2</v>
      </c>
      <c r="AI92" s="57">
        <f t="shared" si="35"/>
        <v>0</v>
      </c>
      <c r="AJ92" s="155">
        <f t="shared" si="59"/>
        <v>0.83333333333333337</v>
      </c>
      <c r="AK92" s="58">
        <f t="shared" si="36"/>
        <v>1</v>
      </c>
      <c r="AL92" s="57">
        <f t="shared" si="37"/>
        <v>4</v>
      </c>
      <c r="AM92" s="57">
        <f t="shared" si="38"/>
        <v>0</v>
      </c>
      <c r="AN92" s="155">
        <f t="shared" si="60"/>
        <v>0.2</v>
      </c>
      <c r="AO92" s="155">
        <f t="shared" si="61"/>
        <v>0.2</v>
      </c>
      <c r="AP92"/>
      <c r="AQ92"/>
      <c r="AR92"/>
      <c r="AS92"/>
    </row>
    <row r="93" spans="1:45" ht="62.4" thickTop="1" thickBot="1" x14ac:dyDescent="0.7">
      <c r="A93" s="142">
        <v>14</v>
      </c>
      <c r="B93" s="220" t="str">
        <f t="shared" si="62"/>
        <v>FASANANDO TAVARES PETER</v>
      </c>
      <c r="C93" s="221"/>
      <c r="D93" s="40" t="str">
        <f t="shared" si="39"/>
        <v>❌</v>
      </c>
      <c r="E93" s="40" t="str">
        <f t="shared" si="39"/>
        <v>❌</v>
      </c>
      <c r="F93" s="40" t="str">
        <f t="shared" si="40"/>
        <v>✔️</v>
      </c>
      <c r="G93" s="40" t="str">
        <f t="shared" ref="G93:H93" si="118">M27</f>
        <v>❌</v>
      </c>
      <c r="H93" s="40" t="str">
        <f t="shared" si="118"/>
        <v>❌</v>
      </c>
      <c r="I93" s="40" t="str">
        <f t="shared" si="42"/>
        <v>✔️</v>
      </c>
      <c r="J93" s="40" t="str">
        <f t="shared" ref="J93:K93" si="119">W27</f>
        <v>✔️</v>
      </c>
      <c r="K93" s="40" t="str">
        <f t="shared" si="119"/>
        <v>✔️</v>
      </c>
      <c r="L93" s="41" t="str">
        <f t="shared" si="44"/>
        <v>✔️</v>
      </c>
      <c r="M93" s="41" t="str">
        <f t="shared" si="45"/>
        <v>✔️</v>
      </c>
      <c r="N93" s="41" t="str">
        <f t="shared" si="46"/>
        <v>❌</v>
      </c>
      <c r="O93" s="41" t="str">
        <f t="shared" ref="O93:Q93" si="120">O27</f>
        <v>✔️</v>
      </c>
      <c r="P93" s="41" t="str">
        <f t="shared" si="120"/>
        <v>✔️</v>
      </c>
      <c r="Q93" s="41" t="str">
        <f t="shared" si="120"/>
        <v>✔️</v>
      </c>
      <c r="R93" s="41" t="str">
        <f t="shared" ref="R93:T93" si="121">T27</f>
        <v>✔️</v>
      </c>
      <c r="S93" s="41" t="str">
        <f t="shared" si="121"/>
        <v>❌</v>
      </c>
      <c r="T93" s="41" t="str">
        <f t="shared" si="121"/>
        <v>✔️</v>
      </c>
      <c r="U93" s="41" t="str">
        <f t="shared" ref="U93:W93" si="122">Y27</f>
        <v>❌</v>
      </c>
      <c r="V93" s="41" t="str">
        <f t="shared" si="122"/>
        <v>✔️</v>
      </c>
      <c r="W93" s="41" t="str">
        <f t="shared" si="122"/>
        <v>✔️</v>
      </c>
      <c r="X93" s="42" t="str">
        <f t="shared" si="50"/>
        <v>❌</v>
      </c>
      <c r="Y93" s="42" t="str">
        <f t="shared" si="51"/>
        <v>❌</v>
      </c>
      <c r="Z93" s="42" t="str">
        <f t="shared" si="52"/>
        <v>✔️</v>
      </c>
      <c r="AA93" s="42" t="str">
        <f t="shared" si="53"/>
        <v>❌</v>
      </c>
      <c r="AB93" s="42" t="str">
        <f t="shared" si="54"/>
        <v>❌</v>
      </c>
      <c r="AC93" s="57">
        <f t="shared" si="55"/>
        <v>4</v>
      </c>
      <c r="AD93" s="57">
        <f t="shared" si="56"/>
        <v>4</v>
      </c>
      <c r="AE93" s="57">
        <f t="shared" si="57"/>
        <v>0</v>
      </c>
      <c r="AF93" s="155">
        <f t="shared" si="58"/>
        <v>0.5</v>
      </c>
      <c r="AG93" s="58">
        <f t="shared" si="33"/>
        <v>9</v>
      </c>
      <c r="AH93" s="57">
        <f t="shared" si="34"/>
        <v>3</v>
      </c>
      <c r="AI93" s="57">
        <f t="shared" si="35"/>
        <v>0</v>
      </c>
      <c r="AJ93" s="155">
        <f t="shared" si="59"/>
        <v>0.75</v>
      </c>
      <c r="AK93" s="58">
        <f t="shared" si="36"/>
        <v>1</v>
      </c>
      <c r="AL93" s="57">
        <f t="shared" si="37"/>
        <v>4</v>
      </c>
      <c r="AM93" s="57">
        <f t="shared" si="38"/>
        <v>0</v>
      </c>
      <c r="AN93" s="155">
        <f t="shared" si="60"/>
        <v>0.2</v>
      </c>
      <c r="AO93" s="155">
        <f t="shared" si="61"/>
        <v>0.2</v>
      </c>
      <c r="AP93"/>
      <c r="AQ93"/>
      <c r="AR93"/>
      <c r="AS93"/>
    </row>
    <row r="94" spans="1:45" ht="62.4" thickTop="1" thickBot="1" x14ac:dyDescent="0.7">
      <c r="A94" s="36">
        <v>15</v>
      </c>
      <c r="B94" s="222" t="str">
        <f t="shared" si="62"/>
        <v>FATAMA MELEMDEZ DARIO</v>
      </c>
      <c r="C94" s="223"/>
      <c r="D94" s="40" t="str">
        <f t="shared" si="39"/>
        <v>❌</v>
      </c>
      <c r="E94" s="40" t="str">
        <f t="shared" si="39"/>
        <v>❌</v>
      </c>
      <c r="F94" s="40" t="str">
        <f t="shared" si="40"/>
        <v>✔️</v>
      </c>
      <c r="G94" s="40" t="str">
        <f t="shared" ref="G94:H94" si="123">M28</f>
        <v>❌</v>
      </c>
      <c r="H94" s="40" t="str">
        <f t="shared" si="123"/>
        <v>❌</v>
      </c>
      <c r="I94" s="40" t="str">
        <f t="shared" si="42"/>
        <v>✔️</v>
      </c>
      <c r="J94" s="40" t="str">
        <f t="shared" ref="J94:K94" si="124">W28</f>
        <v>✔️</v>
      </c>
      <c r="K94" s="40" t="str">
        <f t="shared" si="124"/>
        <v>✔️</v>
      </c>
      <c r="L94" s="41" t="str">
        <f t="shared" si="44"/>
        <v>✔️</v>
      </c>
      <c r="M94" s="41" t="str">
        <f t="shared" si="45"/>
        <v>✔️</v>
      </c>
      <c r="N94" s="41" t="str">
        <f t="shared" si="46"/>
        <v>❌</v>
      </c>
      <c r="O94" s="41" t="str">
        <f t="shared" ref="O94:Q94" si="125">O28</f>
        <v>✔️</v>
      </c>
      <c r="P94" s="41" t="str">
        <f t="shared" si="125"/>
        <v>✔️</v>
      </c>
      <c r="Q94" s="41" t="str">
        <f t="shared" si="125"/>
        <v>✔️</v>
      </c>
      <c r="R94" s="41" t="str">
        <f t="shared" ref="R94:T94" si="126">T28</f>
        <v>✔️</v>
      </c>
      <c r="S94" s="41" t="str">
        <f t="shared" si="126"/>
        <v>❌</v>
      </c>
      <c r="T94" s="41" t="str">
        <f t="shared" si="126"/>
        <v>✔️</v>
      </c>
      <c r="U94" s="41" t="str">
        <f t="shared" ref="U94:W94" si="127">Y28</f>
        <v>❌</v>
      </c>
      <c r="V94" s="41" t="str">
        <f t="shared" si="127"/>
        <v>✔️</v>
      </c>
      <c r="W94" s="41" t="str">
        <f t="shared" si="127"/>
        <v>❌</v>
      </c>
      <c r="X94" s="42" t="str">
        <f t="shared" si="50"/>
        <v>❌</v>
      </c>
      <c r="Y94" s="42" t="str">
        <f t="shared" si="51"/>
        <v>❌</v>
      </c>
      <c r="Z94" s="42" t="str">
        <f t="shared" si="52"/>
        <v>✔️</v>
      </c>
      <c r="AA94" s="42" t="str">
        <f t="shared" si="53"/>
        <v>❌</v>
      </c>
      <c r="AB94" s="42" t="str">
        <f t="shared" si="54"/>
        <v>❌</v>
      </c>
      <c r="AC94" s="57">
        <f t="shared" si="55"/>
        <v>4</v>
      </c>
      <c r="AD94" s="57">
        <f t="shared" si="56"/>
        <v>4</v>
      </c>
      <c r="AE94" s="57">
        <f t="shared" si="57"/>
        <v>0</v>
      </c>
      <c r="AF94" s="155">
        <f t="shared" si="58"/>
        <v>0.5</v>
      </c>
      <c r="AG94" s="58">
        <f t="shared" si="33"/>
        <v>8</v>
      </c>
      <c r="AH94" s="57">
        <f t="shared" si="34"/>
        <v>4</v>
      </c>
      <c r="AI94" s="57">
        <f t="shared" si="35"/>
        <v>0</v>
      </c>
      <c r="AJ94" s="155">
        <f t="shared" si="59"/>
        <v>0.66666666666666663</v>
      </c>
      <c r="AK94" s="58">
        <f t="shared" si="36"/>
        <v>1</v>
      </c>
      <c r="AL94" s="57">
        <f t="shared" si="37"/>
        <v>4</v>
      </c>
      <c r="AM94" s="57">
        <f t="shared" si="38"/>
        <v>0</v>
      </c>
      <c r="AN94" s="155">
        <f t="shared" si="60"/>
        <v>0.2</v>
      </c>
      <c r="AO94" s="155">
        <f t="shared" si="61"/>
        <v>0.2</v>
      </c>
      <c r="AP94"/>
      <c r="AQ94"/>
      <c r="AR94"/>
      <c r="AS94"/>
    </row>
    <row r="95" spans="1:45" ht="62.4" thickTop="1" thickBot="1" x14ac:dyDescent="0.7">
      <c r="A95" s="142">
        <v>16</v>
      </c>
      <c r="B95" s="220" t="str">
        <f t="shared" si="62"/>
        <v>GAVIRIA NOVOA PERLITA</v>
      </c>
      <c r="C95" s="221"/>
      <c r="D95" s="40" t="str">
        <f t="shared" si="39"/>
        <v>❌</v>
      </c>
      <c r="E95" s="40" t="str">
        <f t="shared" si="39"/>
        <v>❌</v>
      </c>
      <c r="F95" s="40" t="str">
        <f t="shared" si="40"/>
        <v>✔️</v>
      </c>
      <c r="G95" s="40" t="str">
        <f t="shared" ref="G95:H95" si="128">M29</f>
        <v>❌</v>
      </c>
      <c r="H95" s="40" t="str">
        <f t="shared" si="128"/>
        <v>❌</v>
      </c>
      <c r="I95" s="40" t="str">
        <f t="shared" si="42"/>
        <v>✔️</v>
      </c>
      <c r="J95" s="40" t="str">
        <f t="shared" ref="J95:K95" si="129">W29</f>
        <v>✔️</v>
      </c>
      <c r="K95" s="40" t="str">
        <f t="shared" si="129"/>
        <v>✔️</v>
      </c>
      <c r="L95" s="41" t="str">
        <f t="shared" si="44"/>
        <v>✔️</v>
      </c>
      <c r="M95" s="41" t="str">
        <f t="shared" si="45"/>
        <v>✔️</v>
      </c>
      <c r="N95" s="41" t="str">
        <f t="shared" si="46"/>
        <v>❌</v>
      </c>
      <c r="O95" s="41" t="str">
        <f t="shared" ref="O95:Q95" si="130">O29</f>
        <v>✔️</v>
      </c>
      <c r="P95" s="41" t="str">
        <f t="shared" si="130"/>
        <v>✔️</v>
      </c>
      <c r="Q95" s="41" t="str">
        <f t="shared" si="130"/>
        <v>✔️</v>
      </c>
      <c r="R95" s="41" t="str">
        <f t="shared" ref="R95:T95" si="131">T29</f>
        <v>✔️</v>
      </c>
      <c r="S95" s="41" t="str">
        <f t="shared" si="131"/>
        <v>❌</v>
      </c>
      <c r="T95" s="41" t="str">
        <f t="shared" si="131"/>
        <v>✔️</v>
      </c>
      <c r="U95" s="41" t="str">
        <f t="shared" ref="U95:W95" si="132">Y29</f>
        <v>❌</v>
      </c>
      <c r="V95" s="41" t="str">
        <f t="shared" si="132"/>
        <v>✔️</v>
      </c>
      <c r="W95" s="41" t="str">
        <f t="shared" si="132"/>
        <v>❌</v>
      </c>
      <c r="X95" s="42" t="str">
        <f t="shared" si="50"/>
        <v>❌</v>
      </c>
      <c r="Y95" s="42" t="str">
        <f t="shared" si="51"/>
        <v>❌</v>
      </c>
      <c r="Z95" s="42" t="str">
        <f t="shared" si="52"/>
        <v>✔️</v>
      </c>
      <c r="AA95" s="42" t="str">
        <f t="shared" si="53"/>
        <v>❌</v>
      </c>
      <c r="AB95" s="42" t="str">
        <f t="shared" si="54"/>
        <v>❌</v>
      </c>
      <c r="AC95" s="57">
        <f t="shared" si="55"/>
        <v>4</v>
      </c>
      <c r="AD95" s="57">
        <f t="shared" si="56"/>
        <v>4</v>
      </c>
      <c r="AE95" s="57">
        <f t="shared" si="57"/>
        <v>0</v>
      </c>
      <c r="AF95" s="155">
        <f t="shared" si="58"/>
        <v>0.5</v>
      </c>
      <c r="AG95" s="58">
        <f t="shared" si="33"/>
        <v>8</v>
      </c>
      <c r="AH95" s="57">
        <f t="shared" si="34"/>
        <v>4</v>
      </c>
      <c r="AI95" s="57">
        <f t="shared" si="35"/>
        <v>0</v>
      </c>
      <c r="AJ95" s="155">
        <f t="shared" si="59"/>
        <v>0.66666666666666663</v>
      </c>
      <c r="AK95" s="58">
        <f t="shared" si="36"/>
        <v>1</v>
      </c>
      <c r="AL95" s="57">
        <f t="shared" si="37"/>
        <v>4</v>
      </c>
      <c r="AM95" s="57">
        <f t="shared" si="38"/>
        <v>0</v>
      </c>
      <c r="AN95" s="155">
        <f t="shared" si="60"/>
        <v>0.2</v>
      </c>
      <c r="AO95" s="155">
        <f t="shared" si="61"/>
        <v>0.2</v>
      </c>
      <c r="AP95"/>
      <c r="AQ95"/>
      <c r="AR95"/>
      <c r="AS95"/>
    </row>
    <row r="96" spans="1:45" ht="62.4" thickTop="1" thickBot="1" x14ac:dyDescent="0.7">
      <c r="A96" s="36">
        <v>17</v>
      </c>
      <c r="B96" s="222" t="str">
        <f t="shared" si="62"/>
        <v>GUERRA SINARAHUA MANUELA</v>
      </c>
      <c r="C96" s="223"/>
      <c r="D96" s="40" t="str">
        <f t="shared" si="39"/>
        <v>❌</v>
      </c>
      <c r="E96" s="40" t="str">
        <f t="shared" si="39"/>
        <v>❌</v>
      </c>
      <c r="F96" s="40" t="str">
        <f t="shared" si="40"/>
        <v>✔️</v>
      </c>
      <c r="G96" s="40" t="str">
        <f t="shared" ref="G96:H96" si="133">M30</f>
        <v>❌</v>
      </c>
      <c r="H96" s="40" t="str">
        <f t="shared" si="133"/>
        <v>❌</v>
      </c>
      <c r="I96" s="40" t="str">
        <f t="shared" si="42"/>
        <v>✔️</v>
      </c>
      <c r="J96" s="40" t="str">
        <f t="shared" ref="J96:K96" si="134">W30</f>
        <v>✔️</v>
      </c>
      <c r="K96" s="40" t="str">
        <f t="shared" si="134"/>
        <v>✔️</v>
      </c>
      <c r="L96" s="41" t="str">
        <f t="shared" si="44"/>
        <v>✔️</v>
      </c>
      <c r="M96" s="41" t="str">
        <f t="shared" si="45"/>
        <v>✔️</v>
      </c>
      <c r="N96" s="41" t="str">
        <f t="shared" si="46"/>
        <v>❌</v>
      </c>
      <c r="O96" s="41" t="str">
        <f t="shared" ref="O96:Q96" si="135">O30</f>
        <v>✔️</v>
      </c>
      <c r="P96" s="41" t="str">
        <f t="shared" si="135"/>
        <v>✔️</v>
      </c>
      <c r="Q96" s="41" t="str">
        <f t="shared" si="135"/>
        <v>✔️</v>
      </c>
      <c r="R96" s="41" t="str">
        <f t="shared" ref="R96:T96" si="136">T30</f>
        <v>✔️</v>
      </c>
      <c r="S96" s="41" t="str">
        <f t="shared" si="136"/>
        <v>❌</v>
      </c>
      <c r="T96" s="41" t="str">
        <f t="shared" si="136"/>
        <v>✔️</v>
      </c>
      <c r="U96" s="41" t="str">
        <f t="shared" ref="U96:W96" si="137">Y30</f>
        <v>❌</v>
      </c>
      <c r="V96" s="41" t="str">
        <f t="shared" si="137"/>
        <v>✔️</v>
      </c>
      <c r="W96" s="41" t="str">
        <f t="shared" si="137"/>
        <v>❌</v>
      </c>
      <c r="X96" s="42" t="str">
        <f t="shared" si="50"/>
        <v>❌</v>
      </c>
      <c r="Y96" s="42" t="str">
        <f t="shared" si="51"/>
        <v>❌</v>
      </c>
      <c r="Z96" s="42" t="str">
        <f t="shared" si="52"/>
        <v>✔️</v>
      </c>
      <c r="AA96" s="42" t="str">
        <f t="shared" si="53"/>
        <v>❌</v>
      </c>
      <c r="AB96" s="42" t="str">
        <f t="shared" si="54"/>
        <v>❌</v>
      </c>
      <c r="AC96" s="57">
        <f t="shared" si="55"/>
        <v>4</v>
      </c>
      <c r="AD96" s="57">
        <f t="shared" si="56"/>
        <v>4</v>
      </c>
      <c r="AE96" s="57">
        <f t="shared" si="57"/>
        <v>0</v>
      </c>
      <c r="AF96" s="155">
        <f t="shared" si="58"/>
        <v>0.5</v>
      </c>
      <c r="AG96" s="58">
        <f t="shared" si="33"/>
        <v>8</v>
      </c>
      <c r="AH96" s="57">
        <f t="shared" si="34"/>
        <v>4</v>
      </c>
      <c r="AI96" s="57">
        <f t="shared" si="35"/>
        <v>0</v>
      </c>
      <c r="AJ96" s="155">
        <f t="shared" si="59"/>
        <v>0.66666666666666663</v>
      </c>
      <c r="AK96" s="58">
        <f t="shared" si="36"/>
        <v>1</v>
      </c>
      <c r="AL96" s="57">
        <f t="shared" si="37"/>
        <v>4</v>
      </c>
      <c r="AM96" s="57">
        <f t="shared" si="38"/>
        <v>0</v>
      </c>
      <c r="AN96" s="155">
        <f t="shared" si="60"/>
        <v>0.2</v>
      </c>
      <c r="AO96" s="155">
        <f t="shared" si="61"/>
        <v>0.2</v>
      </c>
      <c r="AP96"/>
      <c r="AQ96"/>
      <c r="AR96"/>
      <c r="AS96"/>
    </row>
    <row r="97" spans="1:45" ht="62.4" thickTop="1" thickBot="1" x14ac:dyDescent="0.7">
      <c r="A97" s="142">
        <v>18</v>
      </c>
      <c r="B97" s="220" t="str">
        <f t="shared" si="62"/>
        <v>GUIBIN MANZUR MILAGROS</v>
      </c>
      <c r="C97" s="221"/>
      <c r="D97" s="40" t="str">
        <f t="shared" si="39"/>
        <v>❌</v>
      </c>
      <c r="E97" s="40" t="str">
        <f t="shared" si="39"/>
        <v>❌</v>
      </c>
      <c r="F97" s="40" t="str">
        <f t="shared" si="40"/>
        <v>✔️</v>
      </c>
      <c r="G97" s="40" t="str">
        <f t="shared" ref="G97:H97" si="138">M31</f>
        <v>❌</v>
      </c>
      <c r="H97" s="40" t="str">
        <f t="shared" si="138"/>
        <v>❌</v>
      </c>
      <c r="I97" s="40" t="str">
        <f t="shared" si="42"/>
        <v>✔️</v>
      </c>
      <c r="J97" s="40" t="str">
        <f t="shared" ref="J97:K97" si="139">W31</f>
        <v>✔️</v>
      </c>
      <c r="K97" s="40" t="str">
        <f t="shared" si="139"/>
        <v>✔️</v>
      </c>
      <c r="L97" s="41" t="str">
        <f t="shared" si="44"/>
        <v>✔️</v>
      </c>
      <c r="M97" s="41" t="str">
        <f t="shared" si="45"/>
        <v>✔️</v>
      </c>
      <c r="N97" s="41" t="str">
        <f t="shared" si="46"/>
        <v>❌</v>
      </c>
      <c r="O97" s="41" t="str">
        <f t="shared" ref="O97:Q97" si="140">O31</f>
        <v>✔️</v>
      </c>
      <c r="P97" s="41" t="str">
        <f t="shared" si="140"/>
        <v>✔️</v>
      </c>
      <c r="Q97" s="41" t="str">
        <f t="shared" si="140"/>
        <v>✔️</v>
      </c>
      <c r="R97" s="41" t="str">
        <f t="shared" ref="R97:T97" si="141">T31</f>
        <v>✔️</v>
      </c>
      <c r="S97" s="41" t="str">
        <f t="shared" si="141"/>
        <v>❌</v>
      </c>
      <c r="T97" s="41" t="str">
        <f t="shared" si="141"/>
        <v>✔️</v>
      </c>
      <c r="U97" s="41" t="str">
        <f t="shared" ref="U97:W97" si="142">Y31</f>
        <v>❌</v>
      </c>
      <c r="V97" s="41" t="str">
        <f t="shared" si="142"/>
        <v>✔️</v>
      </c>
      <c r="W97" s="41" t="str">
        <f t="shared" si="142"/>
        <v>❌</v>
      </c>
      <c r="X97" s="42" t="str">
        <f t="shared" si="50"/>
        <v>❌</v>
      </c>
      <c r="Y97" s="42" t="str">
        <f t="shared" si="51"/>
        <v>❌</v>
      </c>
      <c r="Z97" s="42" t="str">
        <f t="shared" si="52"/>
        <v>✔️</v>
      </c>
      <c r="AA97" s="42" t="str">
        <f t="shared" si="53"/>
        <v>✔️</v>
      </c>
      <c r="AB97" s="42" t="str">
        <f t="shared" si="54"/>
        <v>❌</v>
      </c>
      <c r="AC97" s="57">
        <f t="shared" si="55"/>
        <v>4</v>
      </c>
      <c r="AD97" s="57">
        <f t="shared" si="56"/>
        <v>4</v>
      </c>
      <c r="AE97" s="57">
        <f t="shared" si="57"/>
        <v>0</v>
      </c>
      <c r="AF97" s="155">
        <f t="shared" si="58"/>
        <v>0.5</v>
      </c>
      <c r="AG97" s="58">
        <f t="shared" si="33"/>
        <v>8</v>
      </c>
      <c r="AH97" s="57">
        <f t="shared" si="34"/>
        <v>4</v>
      </c>
      <c r="AI97" s="57">
        <f t="shared" si="35"/>
        <v>0</v>
      </c>
      <c r="AJ97" s="155">
        <f t="shared" si="59"/>
        <v>0.66666666666666663</v>
      </c>
      <c r="AK97" s="58">
        <f t="shared" si="36"/>
        <v>2</v>
      </c>
      <c r="AL97" s="57">
        <f t="shared" si="37"/>
        <v>3</v>
      </c>
      <c r="AM97" s="57">
        <f t="shared" si="38"/>
        <v>0</v>
      </c>
      <c r="AN97" s="155">
        <f t="shared" si="60"/>
        <v>0.4</v>
      </c>
      <c r="AO97" s="155">
        <f t="shared" si="61"/>
        <v>0.4</v>
      </c>
      <c r="AP97"/>
      <c r="AQ97"/>
      <c r="AR97"/>
      <c r="AS97"/>
    </row>
    <row r="98" spans="1:45" ht="62.4" thickTop="1" thickBot="1" x14ac:dyDescent="0.7">
      <c r="A98" s="36">
        <v>19</v>
      </c>
      <c r="B98" s="222" t="str">
        <f t="shared" si="62"/>
        <v>HORNA MARAPARA CARLOS</v>
      </c>
      <c r="C98" s="223"/>
      <c r="D98" s="40" t="str">
        <f t="shared" si="39"/>
        <v>❌</v>
      </c>
      <c r="E98" s="40" t="str">
        <f t="shared" si="39"/>
        <v>✔️</v>
      </c>
      <c r="F98" s="40" t="str">
        <f t="shared" si="40"/>
        <v>✔️</v>
      </c>
      <c r="G98" s="40" t="str">
        <f t="shared" ref="G98:H98" si="143">M32</f>
        <v>❌</v>
      </c>
      <c r="H98" s="40" t="str">
        <f t="shared" si="143"/>
        <v>❌</v>
      </c>
      <c r="I98" s="40" t="str">
        <f t="shared" si="42"/>
        <v>✔️</v>
      </c>
      <c r="J98" s="40" t="str">
        <f t="shared" ref="J98:K98" si="144">W32</f>
        <v>✔️</v>
      </c>
      <c r="K98" s="40" t="str">
        <f t="shared" si="144"/>
        <v>✔️</v>
      </c>
      <c r="L98" s="41" t="str">
        <f t="shared" si="44"/>
        <v>✔️</v>
      </c>
      <c r="M98" s="41" t="str">
        <f t="shared" si="45"/>
        <v>✔️</v>
      </c>
      <c r="N98" s="41" t="str">
        <f t="shared" si="46"/>
        <v>✔️</v>
      </c>
      <c r="O98" s="41" t="str">
        <f t="shared" ref="O98:Q98" si="145">O32</f>
        <v>❌</v>
      </c>
      <c r="P98" s="41" t="str">
        <f t="shared" si="145"/>
        <v>❌</v>
      </c>
      <c r="Q98" s="41" t="str">
        <f t="shared" si="145"/>
        <v>❌</v>
      </c>
      <c r="R98" s="41" t="str">
        <f t="shared" ref="R98:T98" si="146">T32</f>
        <v>✔️</v>
      </c>
      <c r="S98" s="41" t="str">
        <f t="shared" si="146"/>
        <v>❌</v>
      </c>
      <c r="T98" s="41" t="str">
        <f t="shared" si="146"/>
        <v>✔️</v>
      </c>
      <c r="U98" s="41" t="str">
        <f t="shared" ref="U98:W98" si="147">Y32</f>
        <v>❌</v>
      </c>
      <c r="V98" s="41" t="str">
        <f t="shared" si="147"/>
        <v>✔️</v>
      </c>
      <c r="W98" s="41" t="str">
        <f t="shared" si="147"/>
        <v>❌</v>
      </c>
      <c r="X98" s="42" t="str">
        <f t="shared" si="50"/>
        <v>❌</v>
      </c>
      <c r="Y98" s="42" t="str">
        <f t="shared" si="51"/>
        <v>❌</v>
      </c>
      <c r="Z98" s="42" t="str">
        <f t="shared" si="52"/>
        <v>❌</v>
      </c>
      <c r="AA98" s="42" t="str">
        <f t="shared" si="53"/>
        <v>✔️</v>
      </c>
      <c r="AB98" s="42" t="str">
        <f t="shared" si="54"/>
        <v>❌</v>
      </c>
      <c r="AC98" s="57">
        <f t="shared" si="55"/>
        <v>5</v>
      </c>
      <c r="AD98" s="57">
        <f t="shared" si="56"/>
        <v>3</v>
      </c>
      <c r="AE98" s="57">
        <f t="shared" si="57"/>
        <v>0</v>
      </c>
      <c r="AF98" s="155">
        <f t="shared" si="58"/>
        <v>0.625</v>
      </c>
      <c r="AG98" s="58">
        <f t="shared" si="33"/>
        <v>6</v>
      </c>
      <c r="AH98" s="57">
        <f t="shared" si="34"/>
        <v>6</v>
      </c>
      <c r="AI98" s="57">
        <f t="shared" si="35"/>
        <v>0</v>
      </c>
      <c r="AJ98" s="155">
        <f t="shared" si="59"/>
        <v>0.5</v>
      </c>
      <c r="AK98" s="58">
        <f t="shared" si="36"/>
        <v>1</v>
      </c>
      <c r="AL98" s="57">
        <f t="shared" si="37"/>
        <v>4</v>
      </c>
      <c r="AM98" s="57">
        <f t="shared" si="38"/>
        <v>0</v>
      </c>
      <c r="AN98" s="155">
        <f t="shared" si="60"/>
        <v>0.2</v>
      </c>
      <c r="AO98" s="155">
        <f t="shared" si="61"/>
        <v>0.2</v>
      </c>
      <c r="AP98"/>
      <c r="AQ98"/>
      <c r="AR98"/>
      <c r="AS98"/>
    </row>
    <row r="99" spans="1:45" ht="62.4" thickTop="1" thickBot="1" x14ac:dyDescent="0.7">
      <c r="A99" s="142">
        <v>20</v>
      </c>
      <c r="B99" s="220" t="str">
        <f t="shared" si="62"/>
        <v>HINOSTROZA LOMAS KARLA</v>
      </c>
      <c r="C99" s="221"/>
      <c r="D99" s="40" t="str">
        <f t="shared" si="39"/>
        <v>❌</v>
      </c>
      <c r="E99" s="40" t="str">
        <f t="shared" si="39"/>
        <v>✔️</v>
      </c>
      <c r="F99" s="40" t="str">
        <f t="shared" si="40"/>
        <v>✔️</v>
      </c>
      <c r="G99" s="40" t="str">
        <f t="shared" ref="G99:H99" si="148">M33</f>
        <v>❌</v>
      </c>
      <c r="H99" s="40" t="str">
        <f t="shared" si="148"/>
        <v>✔️</v>
      </c>
      <c r="I99" s="40" t="str">
        <f t="shared" si="42"/>
        <v>✔️</v>
      </c>
      <c r="J99" s="40" t="str">
        <f t="shared" ref="J99:K99" si="149">W33</f>
        <v>✔️</v>
      </c>
      <c r="K99" s="40" t="str">
        <f t="shared" si="149"/>
        <v>✔️</v>
      </c>
      <c r="L99" s="41" t="str">
        <f t="shared" si="44"/>
        <v>✔️</v>
      </c>
      <c r="M99" s="41" t="str">
        <f t="shared" si="45"/>
        <v>✔️</v>
      </c>
      <c r="N99" s="41" t="str">
        <f t="shared" si="46"/>
        <v>✔️</v>
      </c>
      <c r="O99" s="41" t="str">
        <f t="shared" ref="O99:Q99" si="150">O33</f>
        <v>✔️</v>
      </c>
      <c r="P99" s="41" t="str">
        <f t="shared" si="150"/>
        <v>✔️</v>
      </c>
      <c r="Q99" s="41" t="str">
        <f t="shared" si="150"/>
        <v>✔️</v>
      </c>
      <c r="R99" s="41" t="str">
        <f t="shared" ref="R99:T99" si="151">T33</f>
        <v>✔️</v>
      </c>
      <c r="S99" s="41" t="str">
        <f t="shared" si="151"/>
        <v>❌</v>
      </c>
      <c r="T99" s="41" t="str">
        <f t="shared" si="151"/>
        <v>✔️</v>
      </c>
      <c r="U99" s="41" t="str">
        <f t="shared" ref="U99:W99" si="152">Y33</f>
        <v>❌</v>
      </c>
      <c r="V99" s="41" t="str">
        <f t="shared" si="152"/>
        <v>✔️</v>
      </c>
      <c r="W99" s="41" t="str">
        <f t="shared" si="152"/>
        <v>❌</v>
      </c>
      <c r="X99" s="42" t="str">
        <f t="shared" si="50"/>
        <v>❌</v>
      </c>
      <c r="Y99" s="42" t="str">
        <f t="shared" si="51"/>
        <v>❌</v>
      </c>
      <c r="Z99" s="42" t="str">
        <f t="shared" si="52"/>
        <v>❌</v>
      </c>
      <c r="AA99" s="42" t="str">
        <f t="shared" si="53"/>
        <v>✔️</v>
      </c>
      <c r="AB99" s="42" t="str">
        <f t="shared" si="54"/>
        <v>❌</v>
      </c>
      <c r="AC99" s="57">
        <f t="shared" si="55"/>
        <v>6</v>
      </c>
      <c r="AD99" s="57">
        <f t="shared" si="56"/>
        <v>2</v>
      </c>
      <c r="AE99" s="57">
        <f t="shared" si="57"/>
        <v>0</v>
      </c>
      <c r="AF99" s="155">
        <f t="shared" si="58"/>
        <v>0.75</v>
      </c>
      <c r="AG99" s="58">
        <f t="shared" si="33"/>
        <v>9</v>
      </c>
      <c r="AH99" s="57">
        <f t="shared" si="34"/>
        <v>3</v>
      </c>
      <c r="AI99" s="57">
        <f t="shared" si="35"/>
        <v>0</v>
      </c>
      <c r="AJ99" s="155">
        <f t="shared" si="59"/>
        <v>0.75</v>
      </c>
      <c r="AK99" s="58">
        <f t="shared" si="36"/>
        <v>1</v>
      </c>
      <c r="AL99" s="57">
        <f t="shared" si="37"/>
        <v>4</v>
      </c>
      <c r="AM99" s="57">
        <f t="shared" si="38"/>
        <v>0</v>
      </c>
      <c r="AN99" s="155">
        <f t="shared" si="60"/>
        <v>0.2</v>
      </c>
      <c r="AO99" s="155">
        <f t="shared" si="61"/>
        <v>0.2</v>
      </c>
      <c r="AP99"/>
      <c r="AQ99"/>
      <c r="AR99"/>
      <c r="AS99"/>
    </row>
    <row r="100" spans="1:45" ht="62.4" thickTop="1" thickBot="1" x14ac:dyDescent="0.7">
      <c r="A100" s="36">
        <v>21</v>
      </c>
      <c r="B100" s="222" t="str">
        <f t="shared" si="62"/>
        <v>INUMA PANDURO JOAQUIN</v>
      </c>
      <c r="C100" s="223"/>
      <c r="D100" s="40" t="str">
        <f t="shared" si="39"/>
        <v>❌</v>
      </c>
      <c r="E100" s="40" t="str">
        <f t="shared" si="39"/>
        <v>✔️</v>
      </c>
      <c r="F100" s="40" t="str">
        <f t="shared" si="40"/>
        <v>✔️</v>
      </c>
      <c r="G100" s="40" t="str">
        <f t="shared" ref="G100:H100" si="153">M34</f>
        <v>❌</v>
      </c>
      <c r="H100" s="40" t="str">
        <f t="shared" si="153"/>
        <v>✔️</v>
      </c>
      <c r="I100" s="40" t="str">
        <f t="shared" si="42"/>
        <v>✔️</v>
      </c>
      <c r="J100" s="40" t="str">
        <f t="shared" ref="J100:K100" si="154">W34</f>
        <v>✔️</v>
      </c>
      <c r="K100" s="40" t="str">
        <f t="shared" si="154"/>
        <v>✔️</v>
      </c>
      <c r="L100" s="41" t="str">
        <f t="shared" si="44"/>
        <v>✔️</v>
      </c>
      <c r="M100" s="41" t="str">
        <f t="shared" si="45"/>
        <v>✔️</v>
      </c>
      <c r="N100" s="41" t="str">
        <f t="shared" si="46"/>
        <v>✔️</v>
      </c>
      <c r="O100" s="41" t="str">
        <f t="shared" ref="O100:Q100" si="155">O34</f>
        <v>✔️</v>
      </c>
      <c r="P100" s="41" t="str">
        <f t="shared" si="155"/>
        <v>✔️</v>
      </c>
      <c r="Q100" s="41" t="str">
        <f t="shared" si="155"/>
        <v>✔️</v>
      </c>
      <c r="R100" s="41" t="str">
        <f t="shared" ref="R100:T100" si="156">T34</f>
        <v>✔️</v>
      </c>
      <c r="S100" s="41" t="str">
        <f t="shared" si="156"/>
        <v>❌</v>
      </c>
      <c r="T100" s="41" t="str">
        <f t="shared" si="156"/>
        <v>✔️</v>
      </c>
      <c r="U100" s="41" t="str">
        <f t="shared" ref="U100:W100" si="157">Y34</f>
        <v>❌</v>
      </c>
      <c r="V100" s="41" t="str">
        <f t="shared" si="157"/>
        <v>✔️</v>
      </c>
      <c r="W100" s="41" t="str">
        <f t="shared" si="157"/>
        <v>❌</v>
      </c>
      <c r="X100" s="42" t="str">
        <f t="shared" si="50"/>
        <v>❌</v>
      </c>
      <c r="Y100" s="42" t="str">
        <f t="shared" si="51"/>
        <v>❌</v>
      </c>
      <c r="Z100" s="42" t="str">
        <f t="shared" si="52"/>
        <v>❌</v>
      </c>
      <c r="AA100" s="42" t="str">
        <f t="shared" si="53"/>
        <v>✔️</v>
      </c>
      <c r="AB100" s="42" t="str">
        <f t="shared" si="54"/>
        <v>❌</v>
      </c>
      <c r="AC100" s="57">
        <f t="shared" si="55"/>
        <v>6</v>
      </c>
      <c r="AD100" s="57">
        <f t="shared" si="56"/>
        <v>2</v>
      </c>
      <c r="AE100" s="57">
        <f t="shared" si="57"/>
        <v>0</v>
      </c>
      <c r="AF100" s="155">
        <f t="shared" si="58"/>
        <v>0.75</v>
      </c>
      <c r="AG100" s="58">
        <f t="shared" si="33"/>
        <v>9</v>
      </c>
      <c r="AH100" s="57">
        <f t="shared" si="34"/>
        <v>3</v>
      </c>
      <c r="AI100" s="57">
        <f t="shared" si="35"/>
        <v>0</v>
      </c>
      <c r="AJ100" s="155">
        <f t="shared" si="59"/>
        <v>0.75</v>
      </c>
      <c r="AK100" s="58">
        <f t="shared" si="36"/>
        <v>1</v>
      </c>
      <c r="AL100" s="57">
        <f t="shared" si="37"/>
        <v>4</v>
      </c>
      <c r="AM100" s="57">
        <f t="shared" si="38"/>
        <v>0</v>
      </c>
      <c r="AN100" s="155">
        <f t="shared" si="60"/>
        <v>0.2</v>
      </c>
      <c r="AO100" s="155">
        <f t="shared" si="61"/>
        <v>0.2</v>
      </c>
      <c r="AP100"/>
      <c r="AQ100"/>
      <c r="AR100"/>
      <c r="AS100"/>
    </row>
    <row r="101" spans="1:45" ht="62.4" thickTop="1" thickBot="1" x14ac:dyDescent="0.7">
      <c r="A101" s="142">
        <v>22</v>
      </c>
      <c r="B101" s="220" t="str">
        <f t="shared" si="62"/>
        <v>INUMA PANDURO JOAQUIN</v>
      </c>
      <c r="C101" s="221"/>
      <c r="D101" s="40" t="str">
        <f t="shared" si="39"/>
        <v>❌</v>
      </c>
      <c r="E101" s="40" t="str">
        <f t="shared" si="39"/>
        <v>✔️</v>
      </c>
      <c r="F101" s="40" t="str">
        <f t="shared" si="40"/>
        <v>✔️</v>
      </c>
      <c r="G101" s="40" t="str">
        <f t="shared" ref="G101:H101" si="158">M35</f>
        <v>❌</v>
      </c>
      <c r="H101" s="40" t="str">
        <f t="shared" si="158"/>
        <v>✔️</v>
      </c>
      <c r="I101" s="40" t="str">
        <f t="shared" si="42"/>
        <v>✔️</v>
      </c>
      <c r="J101" s="40" t="str">
        <f t="shared" ref="J101:K101" si="159">W35</f>
        <v>✔️</v>
      </c>
      <c r="K101" s="40" t="str">
        <f t="shared" si="159"/>
        <v>✔️</v>
      </c>
      <c r="L101" s="41" t="str">
        <f t="shared" si="44"/>
        <v>✔️</v>
      </c>
      <c r="M101" s="41" t="str">
        <f t="shared" si="45"/>
        <v>✔️</v>
      </c>
      <c r="N101" s="41" t="str">
        <f t="shared" si="46"/>
        <v>✔️</v>
      </c>
      <c r="O101" s="41" t="str">
        <f t="shared" ref="O101:Q101" si="160">O35</f>
        <v>✔️</v>
      </c>
      <c r="P101" s="41" t="str">
        <f t="shared" si="160"/>
        <v>✔️</v>
      </c>
      <c r="Q101" s="41" t="str">
        <f t="shared" si="160"/>
        <v>✔️</v>
      </c>
      <c r="R101" s="41" t="str">
        <f t="shared" ref="R101:T101" si="161">T35</f>
        <v>✔️</v>
      </c>
      <c r="S101" s="41" t="str">
        <f t="shared" si="161"/>
        <v>❌</v>
      </c>
      <c r="T101" s="41" t="str">
        <f t="shared" si="161"/>
        <v>✔️</v>
      </c>
      <c r="U101" s="41" t="str">
        <f t="shared" ref="U101:W101" si="162">Y35</f>
        <v>❌</v>
      </c>
      <c r="V101" s="41" t="str">
        <f t="shared" si="162"/>
        <v>✔️</v>
      </c>
      <c r="W101" s="41" t="str">
        <f t="shared" si="162"/>
        <v>❌</v>
      </c>
      <c r="X101" s="42" t="str">
        <f t="shared" si="50"/>
        <v>❌</v>
      </c>
      <c r="Y101" s="42" t="str">
        <f t="shared" si="51"/>
        <v>❌</v>
      </c>
      <c r="Z101" s="42" t="str">
        <f t="shared" si="52"/>
        <v>❌</v>
      </c>
      <c r="AA101" s="42" t="str">
        <f t="shared" si="53"/>
        <v>✔️</v>
      </c>
      <c r="AB101" s="42" t="str">
        <f t="shared" si="54"/>
        <v>❌</v>
      </c>
      <c r="AC101" s="57">
        <f t="shared" si="55"/>
        <v>6</v>
      </c>
      <c r="AD101" s="57">
        <f t="shared" si="56"/>
        <v>2</v>
      </c>
      <c r="AE101" s="57">
        <f t="shared" si="57"/>
        <v>0</v>
      </c>
      <c r="AF101" s="155">
        <f t="shared" si="58"/>
        <v>0.75</v>
      </c>
      <c r="AG101" s="58">
        <f t="shared" si="33"/>
        <v>9</v>
      </c>
      <c r="AH101" s="57">
        <f t="shared" si="34"/>
        <v>3</v>
      </c>
      <c r="AI101" s="57">
        <f t="shared" si="35"/>
        <v>0</v>
      </c>
      <c r="AJ101" s="155">
        <f t="shared" si="59"/>
        <v>0.75</v>
      </c>
      <c r="AK101" s="58">
        <f t="shared" si="36"/>
        <v>1</v>
      </c>
      <c r="AL101" s="57">
        <f t="shared" si="37"/>
        <v>4</v>
      </c>
      <c r="AM101" s="57">
        <f t="shared" si="38"/>
        <v>0</v>
      </c>
      <c r="AN101" s="155">
        <f t="shared" si="60"/>
        <v>0.2</v>
      </c>
      <c r="AO101" s="155">
        <f t="shared" si="61"/>
        <v>0.2</v>
      </c>
      <c r="AP101"/>
      <c r="AQ101"/>
      <c r="AR101"/>
      <c r="AS101"/>
    </row>
    <row r="102" spans="1:45" ht="62.4" thickTop="1" thickBot="1" x14ac:dyDescent="0.7">
      <c r="A102" s="36">
        <v>23</v>
      </c>
      <c r="B102" s="222" t="str">
        <f t="shared" si="62"/>
        <v>ISLA CONTRERAS ROMINA</v>
      </c>
      <c r="C102" s="223"/>
      <c r="D102" s="40" t="str">
        <f t="shared" si="39"/>
        <v>❌</v>
      </c>
      <c r="E102" s="40" t="str">
        <f t="shared" si="39"/>
        <v>✔️</v>
      </c>
      <c r="F102" s="40" t="str">
        <f t="shared" si="40"/>
        <v>✔️</v>
      </c>
      <c r="G102" s="40" t="str">
        <f t="shared" ref="G102:H102" si="163">M36</f>
        <v>❌</v>
      </c>
      <c r="H102" s="40" t="str">
        <f t="shared" si="163"/>
        <v>❌</v>
      </c>
      <c r="I102" s="40" t="str">
        <f t="shared" si="42"/>
        <v>❌</v>
      </c>
      <c r="J102" s="40" t="str">
        <f t="shared" ref="J102:K102" si="164">W36</f>
        <v>✔️</v>
      </c>
      <c r="K102" s="40" t="str">
        <f t="shared" si="164"/>
        <v>✔️</v>
      </c>
      <c r="L102" s="41" t="str">
        <f t="shared" si="44"/>
        <v>✔️</v>
      </c>
      <c r="M102" s="41" t="str">
        <f t="shared" si="45"/>
        <v>✔️</v>
      </c>
      <c r="N102" s="41" t="str">
        <f t="shared" si="46"/>
        <v>✔️</v>
      </c>
      <c r="O102" s="41" t="str">
        <f t="shared" ref="O102:Q102" si="165">O36</f>
        <v>❌</v>
      </c>
      <c r="P102" s="41" t="str">
        <f t="shared" si="165"/>
        <v>❌</v>
      </c>
      <c r="Q102" s="41" t="str">
        <f t="shared" si="165"/>
        <v>❌</v>
      </c>
      <c r="R102" s="41" t="str">
        <f t="shared" ref="R102:T102" si="166">T36</f>
        <v>❌</v>
      </c>
      <c r="S102" s="41" t="str">
        <f t="shared" si="166"/>
        <v>❌</v>
      </c>
      <c r="T102" s="41" t="str">
        <f t="shared" si="166"/>
        <v>✔️</v>
      </c>
      <c r="U102" s="41" t="str">
        <f t="shared" ref="U102:W102" si="167">Y36</f>
        <v>❌</v>
      </c>
      <c r="V102" s="41" t="str">
        <f t="shared" si="167"/>
        <v>✔️</v>
      </c>
      <c r="W102" s="41" t="str">
        <f t="shared" si="167"/>
        <v>❌</v>
      </c>
      <c r="X102" s="42" t="str">
        <f t="shared" si="50"/>
        <v>❌</v>
      </c>
      <c r="Y102" s="42" t="str">
        <f t="shared" si="51"/>
        <v>✔️</v>
      </c>
      <c r="Z102" s="42" t="str">
        <f t="shared" si="52"/>
        <v>❌</v>
      </c>
      <c r="AA102" s="42" t="str">
        <f t="shared" si="53"/>
        <v>❌</v>
      </c>
      <c r="AB102" s="42" t="str">
        <f t="shared" si="54"/>
        <v>❌</v>
      </c>
      <c r="AC102" s="57">
        <f t="shared" si="55"/>
        <v>4</v>
      </c>
      <c r="AD102" s="57">
        <f t="shared" si="56"/>
        <v>4</v>
      </c>
      <c r="AE102" s="57">
        <f t="shared" si="57"/>
        <v>0</v>
      </c>
      <c r="AF102" s="155">
        <f t="shared" si="58"/>
        <v>0.5</v>
      </c>
      <c r="AG102" s="58">
        <f t="shared" si="33"/>
        <v>5</v>
      </c>
      <c r="AH102" s="57">
        <f t="shared" si="34"/>
        <v>7</v>
      </c>
      <c r="AI102" s="57">
        <f t="shared" si="35"/>
        <v>0</v>
      </c>
      <c r="AJ102" s="155">
        <f t="shared" si="59"/>
        <v>0.41666666666666669</v>
      </c>
      <c r="AK102" s="58">
        <f t="shared" si="36"/>
        <v>1</v>
      </c>
      <c r="AL102" s="57">
        <f t="shared" si="37"/>
        <v>4</v>
      </c>
      <c r="AM102" s="57">
        <f t="shared" si="38"/>
        <v>0</v>
      </c>
      <c r="AN102" s="155">
        <f t="shared" si="60"/>
        <v>0.2</v>
      </c>
      <c r="AO102" s="155">
        <f t="shared" si="61"/>
        <v>0.2</v>
      </c>
      <c r="AP102"/>
      <c r="AQ102"/>
      <c r="AR102"/>
      <c r="AS102"/>
    </row>
    <row r="103" spans="1:45" ht="62.4" thickTop="1" thickBot="1" x14ac:dyDescent="0.7">
      <c r="A103" s="142">
        <v>24</v>
      </c>
      <c r="B103" s="220" t="str">
        <f t="shared" si="62"/>
        <v>JARAMA FONSECA ROSAURA</v>
      </c>
      <c r="C103" s="221"/>
      <c r="D103" s="40" t="str">
        <f t="shared" si="39"/>
        <v>❌</v>
      </c>
      <c r="E103" s="40" t="str">
        <f t="shared" si="39"/>
        <v>✔️</v>
      </c>
      <c r="F103" s="40" t="str">
        <f t="shared" si="40"/>
        <v>✔️</v>
      </c>
      <c r="G103" s="40" t="str">
        <f t="shared" ref="G103:H103" si="168">M37</f>
        <v>❌</v>
      </c>
      <c r="H103" s="40" t="str">
        <f t="shared" si="168"/>
        <v>✔️</v>
      </c>
      <c r="I103" s="40" t="str">
        <f t="shared" si="42"/>
        <v>✔️</v>
      </c>
      <c r="J103" s="40" t="str">
        <f t="shared" ref="J103:K103" si="169">W37</f>
        <v>✔️</v>
      </c>
      <c r="K103" s="40" t="str">
        <f t="shared" si="169"/>
        <v>✔️</v>
      </c>
      <c r="L103" s="41" t="str">
        <f t="shared" si="44"/>
        <v>✔️</v>
      </c>
      <c r="M103" s="41" t="str">
        <f t="shared" si="45"/>
        <v>✔️</v>
      </c>
      <c r="N103" s="41" t="str">
        <f t="shared" si="46"/>
        <v>✔️</v>
      </c>
      <c r="O103" s="41" t="str">
        <f t="shared" ref="O103:Q103" si="170">O37</f>
        <v>✔️</v>
      </c>
      <c r="P103" s="41" t="str">
        <f t="shared" si="170"/>
        <v>❌</v>
      </c>
      <c r="Q103" s="41" t="str">
        <f t="shared" si="170"/>
        <v>✔️</v>
      </c>
      <c r="R103" s="41" t="str">
        <f t="shared" ref="R103:T103" si="171">T37</f>
        <v>✔️</v>
      </c>
      <c r="S103" s="41" t="str">
        <f t="shared" si="171"/>
        <v>❌</v>
      </c>
      <c r="T103" s="41" t="str">
        <f t="shared" si="171"/>
        <v>✔️</v>
      </c>
      <c r="U103" s="41" t="str">
        <f t="shared" ref="U103:W103" si="172">Y37</f>
        <v>❌</v>
      </c>
      <c r="V103" s="41" t="str">
        <f t="shared" si="172"/>
        <v>✔️</v>
      </c>
      <c r="W103" s="41" t="str">
        <f t="shared" si="172"/>
        <v>✔️</v>
      </c>
      <c r="X103" s="42" t="str">
        <f t="shared" si="50"/>
        <v>❌</v>
      </c>
      <c r="Y103" s="42" t="str">
        <f t="shared" si="51"/>
        <v>✔️</v>
      </c>
      <c r="Z103" s="42" t="str">
        <f t="shared" si="52"/>
        <v>❌</v>
      </c>
      <c r="AA103" s="42" t="str">
        <f t="shared" si="53"/>
        <v>✔️</v>
      </c>
      <c r="AB103" s="42" t="str">
        <f t="shared" si="54"/>
        <v>❌</v>
      </c>
      <c r="AC103" s="57">
        <f t="shared" si="55"/>
        <v>6</v>
      </c>
      <c r="AD103" s="57">
        <f t="shared" si="56"/>
        <v>2</v>
      </c>
      <c r="AE103" s="57">
        <f t="shared" si="57"/>
        <v>0</v>
      </c>
      <c r="AF103" s="155">
        <f t="shared" si="58"/>
        <v>0.75</v>
      </c>
      <c r="AG103" s="58">
        <f t="shared" si="33"/>
        <v>9</v>
      </c>
      <c r="AH103" s="57">
        <f t="shared" si="34"/>
        <v>3</v>
      </c>
      <c r="AI103" s="57">
        <f t="shared" si="35"/>
        <v>0</v>
      </c>
      <c r="AJ103" s="155">
        <f t="shared" si="59"/>
        <v>0.75</v>
      </c>
      <c r="AK103" s="58">
        <f t="shared" si="36"/>
        <v>2</v>
      </c>
      <c r="AL103" s="57">
        <f t="shared" si="37"/>
        <v>3</v>
      </c>
      <c r="AM103" s="57">
        <f t="shared" si="38"/>
        <v>0</v>
      </c>
      <c r="AN103" s="155">
        <f t="shared" si="60"/>
        <v>0.4</v>
      </c>
      <c r="AO103" s="155">
        <f t="shared" si="61"/>
        <v>0.4</v>
      </c>
      <c r="AP103"/>
      <c r="AQ103"/>
      <c r="AR103"/>
      <c r="AS103"/>
    </row>
    <row r="104" spans="1:45" ht="62.4" thickTop="1" thickBot="1" x14ac:dyDescent="0.7">
      <c r="A104" s="36">
        <v>25</v>
      </c>
      <c r="B104" s="222" t="str">
        <f t="shared" si="62"/>
        <v>JIMENEZ DAHUA PATRICIA</v>
      </c>
      <c r="C104" s="223"/>
      <c r="D104" s="40" t="str">
        <f t="shared" si="39"/>
        <v>❌</v>
      </c>
      <c r="E104" s="40" t="str">
        <f t="shared" si="39"/>
        <v>✔️</v>
      </c>
      <c r="F104" s="40" t="str">
        <f t="shared" si="40"/>
        <v>✔️</v>
      </c>
      <c r="G104" s="40" t="str">
        <f t="shared" ref="G104:H104" si="173">M38</f>
        <v>❌</v>
      </c>
      <c r="H104" s="40" t="str">
        <f t="shared" si="173"/>
        <v>✔️</v>
      </c>
      <c r="I104" s="40" t="str">
        <f t="shared" si="42"/>
        <v>✔️</v>
      </c>
      <c r="J104" s="40" t="str">
        <f t="shared" ref="J104:K104" si="174">W38</f>
        <v>✔️</v>
      </c>
      <c r="K104" s="40" t="str">
        <f t="shared" si="174"/>
        <v>✔️</v>
      </c>
      <c r="L104" s="41" t="str">
        <f t="shared" si="44"/>
        <v>✔️</v>
      </c>
      <c r="M104" s="41" t="str">
        <f t="shared" si="45"/>
        <v>✔️</v>
      </c>
      <c r="N104" s="41" t="str">
        <f t="shared" si="46"/>
        <v>✔️</v>
      </c>
      <c r="O104" s="41" t="str">
        <f t="shared" ref="O104:Q104" si="175">O38</f>
        <v>✔️</v>
      </c>
      <c r="P104" s="41" t="str">
        <f t="shared" si="175"/>
        <v>❌</v>
      </c>
      <c r="Q104" s="41" t="str">
        <f t="shared" si="175"/>
        <v>✔️</v>
      </c>
      <c r="R104" s="41" t="str">
        <f t="shared" ref="R104:T104" si="176">T38</f>
        <v>✔️</v>
      </c>
      <c r="S104" s="41" t="str">
        <f t="shared" si="176"/>
        <v>❌</v>
      </c>
      <c r="T104" s="41" t="str">
        <f t="shared" si="176"/>
        <v>✔️</v>
      </c>
      <c r="U104" s="41" t="str">
        <f t="shared" ref="U104:W104" si="177">Y38</f>
        <v>✔️</v>
      </c>
      <c r="V104" s="41" t="str">
        <f t="shared" si="177"/>
        <v>✔️</v>
      </c>
      <c r="W104" s="41" t="str">
        <f t="shared" si="177"/>
        <v>✔️</v>
      </c>
      <c r="X104" s="42" t="str">
        <f t="shared" si="50"/>
        <v>❌</v>
      </c>
      <c r="Y104" s="42" t="str">
        <f t="shared" si="51"/>
        <v>✔️</v>
      </c>
      <c r="Z104" s="42" t="str">
        <f t="shared" si="52"/>
        <v>❌</v>
      </c>
      <c r="AA104" s="42" t="str">
        <f t="shared" si="53"/>
        <v>✔️</v>
      </c>
      <c r="AB104" s="42" t="str">
        <f t="shared" si="54"/>
        <v>❌</v>
      </c>
      <c r="AC104" s="57">
        <f t="shared" si="55"/>
        <v>6</v>
      </c>
      <c r="AD104" s="57">
        <f t="shared" si="56"/>
        <v>2</v>
      </c>
      <c r="AE104" s="57">
        <f t="shared" si="57"/>
        <v>0</v>
      </c>
      <c r="AF104" s="155">
        <f t="shared" si="58"/>
        <v>0.75</v>
      </c>
      <c r="AG104" s="58">
        <f t="shared" si="33"/>
        <v>10</v>
      </c>
      <c r="AH104" s="57">
        <f t="shared" si="34"/>
        <v>2</v>
      </c>
      <c r="AI104" s="57">
        <f t="shared" si="35"/>
        <v>0</v>
      </c>
      <c r="AJ104" s="155">
        <f t="shared" si="59"/>
        <v>0.83333333333333337</v>
      </c>
      <c r="AK104" s="58">
        <f t="shared" si="36"/>
        <v>2</v>
      </c>
      <c r="AL104" s="57">
        <f t="shared" si="37"/>
        <v>3</v>
      </c>
      <c r="AM104" s="57">
        <f t="shared" si="38"/>
        <v>0</v>
      </c>
      <c r="AN104" s="155">
        <f t="shared" si="60"/>
        <v>0.4</v>
      </c>
      <c r="AO104" s="155">
        <f t="shared" si="61"/>
        <v>0.4</v>
      </c>
      <c r="AP104"/>
      <c r="AQ104"/>
      <c r="AR104"/>
      <c r="AS104"/>
    </row>
    <row r="105" spans="1:45" ht="62.4" thickTop="1" thickBot="1" x14ac:dyDescent="0.7">
      <c r="A105" s="142">
        <v>26</v>
      </c>
      <c r="B105" s="220" t="str">
        <f t="shared" si="62"/>
        <v>LOPEZ CAMAN PRISCILA</v>
      </c>
      <c r="C105" s="221"/>
      <c r="D105" s="40" t="str">
        <f t="shared" si="39"/>
        <v>❌</v>
      </c>
      <c r="E105" s="40" t="str">
        <f t="shared" si="39"/>
        <v>❌</v>
      </c>
      <c r="F105" s="40" t="str">
        <f t="shared" si="40"/>
        <v>✔️</v>
      </c>
      <c r="G105" s="40" t="str">
        <f t="shared" ref="G105:H105" si="178">M39</f>
        <v>❌</v>
      </c>
      <c r="H105" s="40" t="str">
        <f t="shared" si="178"/>
        <v>✔️</v>
      </c>
      <c r="I105" s="40" t="str">
        <f t="shared" si="42"/>
        <v>✔️</v>
      </c>
      <c r="J105" s="40" t="str">
        <f t="shared" ref="J105:K105" si="179">W39</f>
        <v>✔️</v>
      </c>
      <c r="K105" s="40" t="str">
        <f t="shared" si="179"/>
        <v>✔️</v>
      </c>
      <c r="L105" s="41" t="str">
        <f t="shared" si="44"/>
        <v>❌</v>
      </c>
      <c r="M105" s="41" t="str">
        <f t="shared" si="45"/>
        <v>❌</v>
      </c>
      <c r="N105" s="41" t="str">
        <f t="shared" si="46"/>
        <v>❌</v>
      </c>
      <c r="O105" s="41" t="str">
        <f t="shared" ref="O105:Q105" si="180">O39</f>
        <v>✔️</v>
      </c>
      <c r="P105" s="41" t="str">
        <f t="shared" si="180"/>
        <v>❌</v>
      </c>
      <c r="Q105" s="41" t="str">
        <f t="shared" si="180"/>
        <v>✔️</v>
      </c>
      <c r="R105" s="41" t="str">
        <f t="shared" ref="R105:T105" si="181">T39</f>
        <v>✔️</v>
      </c>
      <c r="S105" s="41" t="str">
        <f t="shared" si="181"/>
        <v>❌</v>
      </c>
      <c r="T105" s="41" t="str">
        <f t="shared" si="181"/>
        <v>✔️</v>
      </c>
      <c r="U105" s="41" t="str">
        <f t="shared" ref="U105:W105" si="182">Y39</f>
        <v>✔️</v>
      </c>
      <c r="V105" s="41" t="str">
        <f t="shared" si="182"/>
        <v>✔️</v>
      </c>
      <c r="W105" s="41" t="str">
        <f t="shared" si="182"/>
        <v>✔️</v>
      </c>
      <c r="X105" s="42" t="str">
        <f t="shared" si="50"/>
        <v>❌</v>
      </c>
      <c r="Y105" s="42" t="str">
        <f t="shared" si="51"/>
        <v>❌</v>
      </c>
      <c r="Z105" s="42" t="str">
        <f t="shared" si="52"/>
        <v>✔️</v>
      </c>
      <c r="AA105" s="42" t="str">
        <f t="shared" si="53"/>
        <v>✔️</v>
      </c>
      <c r="AB105" s="42" t="str">
        <f t="shared" si="54"/>
        <v>❌</v>
      </c>
      <c r="AC105" s="57">
        <f t="shared" si="55"/>
        <v>5</v>
      </c>
      <c r="AD105" s="57">
        <f t="shared" si="56"/>
        <v>3</v>
      </c>
      <c r="AE105" s="57">
        <f t="shared" si="57"/>
        <v>0</v>
      </c>
      <c r="AF105" s="155">
        <f t="shared" si="58"/>
        <v>0.625</v>
      </c>
      <c r="AG105" s="58">
        <f t="shared" si="33"/>
        <v>7</v>
      </c>
      <c r="AH105" s="57">
        <f t="shared" si="34"/>
        <v>5</v>
      </c>
      <c r="AI105" s="57">
        <f t="shared" si="35"/>
        <v>0</v>
      </c>
      <c r="AJ105" s="155">
        <f t="shared" si="59"/>
        <v>0.58333333333333337</v>
      </c>
      <c r="AK105" s="58">
        <f t="shared" si="36"/>
        <v>2</v>
      </c>
      <c r="AL105" s="57">
        <f t="shared" si="37"/>
        <v>3</v>
      </c>
      <c r="AM105" s="57">
        <f t="shared" si="38"/>
        <v>0</v>
      </c>
      <c r="AN105" s="155">
        <f t="shared" si="60"/>
        <v>0.4</v>
      </c>
      <c r="AO105" s="155">
        <f t="shared" si="61"/>
        <v>0.4</v>
      </c>
      <c r="AP105"/>
      <c r="AQ105"/>
      <c r="AR105"/>
      <c r="AS105"/>
    </row>
    <row r="106" spans="1:45" ht="62.4" thickTop="1" thickBot="1" x14ac:dyDescent="0.7">
      <c r="A106" s="36">
        <v>27</v>
      </c>
      <c r="B106" s="222" t="str">
        <f t="shared" si="62"/>
        <v>LAULATE PADILLA ANGELA</v>
      </c>
      <c r="C106" s="223"/>
      <c r="D106" s="40" t="str">
        <f t="shared" si="39"/>
        <v>❌</v>
      </c>
      <c r="E106" s="40" t="str">
        <f t="shared" si="39"/>
        <v>✔️</v>
      </c>
      <c r="F106" s="40" t="str">
        <f t="shared" si="40"/>
        <v>✔️</v>
      </c>
      <c r="G106" s="40" t="str">
        <f t="shared" ref="G106:H106" si="183">M40</f>
        <v>❌</v>
      </c>
      <c r="H106" s="40" t="str">
        <f t="shared" si="183"/>
        <v>✔️</v>
      </c>
      <c r="I106" s="40" t="str">
        <f t="shared" si="42"/>
        <v>✔️</v>
      </c>
      <c r="J106" s="40" t="str">
        <f t="shared" ref="J106:K106" si="184">W40</f>
        <v>✔️</v>
      </c>
      <c r="K106" s="40" t="str">
        <f t="shared" si="184"/>
        <v>✔️</v>
      </c>
      <c r="L106" s="41" t="str">
        <f t="shared" si="44"/>
        <v>✔️</v>
      </c>
      <c r="M106" s="41" t="str">
        <f t="shared" si="45"/>
        <v>✔️</v>
      </c>
      <c r="N106" s="41" t="str">
        <f t="shared" si="46"/>
        <v>❌</v>
      </c>
      <c r="O106" s="41" t="str">
        <f t="shared" ref="O106:Q106" si="185">O40</f>
        <v>✔️</v>
      </c>
      <c r="P106" s="41" t="str">
        <f t="shared" si="185"/>
        <v>❌</v>
      </c>
      <c r="Q106" s="41" t="str">
        <f t="shared" si="185"/>
        <v>✔️</v>
      </c>
      <c r="R106" s="41" t="str">
        <f t="shared" ref="R106:T106" si="186">T40</f>
        <v>✔️</v>
      </c>
      <c r="S106" s="41" t="str">
        <f t="shared" si="186"/>
        <v>❌</v>
      </c>
      <c r="T106" s="41" t="str">
        <f t="shared" si="186"/>
        <v>✔️</v>
      </c>
      <c r="U106" s="41" t="str">
        <f t="shared" ref="U106:W106" si="187">Y40</f>
        <v>✔️</v>
      </c>
      <c r="V106" s="41" t="str">
        <f t="shared" si="187"/>
        <v>✔️</v>
      </c>
      <c r="W106" s="41" t="str">
        <f t="shared" si="187"/>
        <v>✔️</v>
      </c>
      <c r="X106" s="42" t="str">
        <f t="shared" si="50"/>
        <v>❌</v>
      </c>
      <c r="Y106" s="42" t="str">
        <f t="shared" si="51"/>
        <v>✔️</v>
      </c>
      <c r="Z106" s="42" t="str">
        <f t="shared" si="52"/>
        <v>✔️</v>
      </c>
      <c r="AA106" s="42" t="str">
        <f t="shared" si="53"/>
        <v>✔️</v>
      </c>
      <c r="AB106" s="42" t="str">
        <f t="shared" si="54"/>
        <v>❌</v>
      </c>
      <c r="AC106" s="57">
        <f t="shared" si="55"/>
        <v>6</v>
      </c>
      <c r="AD106" s="57">
        <f t="shared" si="56"/>
        <v>2</v>
      </c>
      <c r="AE106" s="57">
        <f t="shared" si="57"/>
        <v>0</v>
      </c>
      <c r="AF106" s="155">
        <f t="shared" si="58"/>
        <v>0.75</v>
      </c>
      <c r="AG106" s="58">
        <f t="shared" si="33"/>
        <v>9</v>
      </c>
      <c r="AH106" s="57">
        <f t="shared" si="34"/>
        <v>3</v>
      </c>
      <c r="AI106" s="57">
        <f t="shared" si="35"/>
        <v>0</v>
      </c>
      <c r="AJ106" s="155">
        <f t="shared" si="59"/>
        <v>0.75</v>
      </c>
      <c r="AK106" s="58">
        <f t="shared" si="36"/>
        <v>3</v>
      </c>
      <c r="AL106" s="57">
        <f t="shared" si="37"/>
        <v>2</v>
      </c>
      <c r="AM106" s="57">
        <f t="shared" si="38"/>
        <v>0</v>
      </c>
      <c r="AN106" s="155">
        <f t="shared" si="60"/>
        <v>0.6</v>
      </c>
      <c r="AO106" s="155">
        <f t="shared" si="61"/>
        <v>0.6</v>
      </c>
      <c r="AP106"/>
      <c r="AQ106"/>
      <c r="AR106"/>
      <c r="AS106"/>
    </row>
    <row r="107" spans="1:45" ht="62.4" thickTop="1" thickBot="1" x14ac:dyDescent="0.7">
      <c r="A107" s="142">
        <v>28</v>
      </c>
      <c r="B107" s="220" t="str">
        <f t="shared" si="62"/>
        <v>MORA CHAVEZ TANIA</v>
      </c>
      <c r="C107" s="221"/>
      <c r="D107" s="40" t="str">
        <f t="shared" si="39"/>
        <v>❌</v>
      </c>
      <c r="E107" s="40" t="str">
        <f t="shared" si="39"/>
        <v>✔️</v>
      </c>
      <c r="F107" s="40" t="str">
        <f t="shared" si="40"/>
        <v>✔️</v>
      </c>
      <c r="G107" s="40" t="str">
        <f t="shared" ref="G107:H107" si="188">M41</f>
        <v>❌</v>
      </c>
      <c r="H107" s="40" t="str">
        <f t="shared" si="188"/>
        <v>✔️</v>
      </c>
      <c r="I107" s="40" t="str">
        <f t="shared" si="42"/>
        <v>✔️</v>
      </c>
      <c r="J107" s="40" t="str">
        <f t="shared" ref="J107:K107" si="189">W41</f>
        <v>✔️</v>
      </c>
      <c r="K107" s="40" t="str">
        <f t="shared" si="189"/>
        <v>✔️</v>
      </c>
      <c r="L107" s="41" t="str">
        <f t="shared" si="44"/>
        <v>✔️</v>
      </c>
      <c r="M107" s="41" t="str">
        <f t="shared" si="45"/>
        <v>✔️</v>
      </c>
      <c r="N107" s="41" t="str">
        <f t="shared" si="46"/>
        <v>❌</v>
      </c>
      <c r="O107" s="41" t="str">
        <f t="shared" ref="O107:Q107" si="190">O41</f>
        <v>✔️</v>
      </c>
      <c r="P107" s="41" t="str">
        <f t="shared" si="190"/>
        <v>❌</v>
      </c>
      <c r="Q107" s="41" t="str">
        <f t="shared" si="190"/>
        <v>✔️</v>
      </c>
      <c r="R107" s="41" t="str">
        <f t="shared" ref="R107:T107" si="191">T41</f>
        <v>✔️</v>
      </c>
      <c r="S107" s="41" t="str">
        <f t="shared" si="191"/>
        <v>❌</v>
      </c>
      <c r="T107" s="41" t="str">
        <f t="shared" si="191"/>
        <v>✔️</v>
      </c>
      <c r="U107" s="41" t="str">
        <f t="shared" ref="U107:W107" si="192">Y41</f>
        <v>✔️</v>
      </c>
      <c r="V107" s="41" t="str">
        <f t="shared" si="192"/>
        <v>✔️</v>
      </c>
      <c r="W107" s="41" t="str">
        <f t="shared" si="192"/>
        <v>✔️</v>
      </c>
      <c r="X107" s="42" t="str">
        <f t="shared" si="50"/>
        <v>❌</v>
      </c>
      <c r="Y107" s="42" t="str">
        <f t="shared" si="51"/>
        <v>✔️</v>
      </c>
      <c r="Z107" s="42" t="str">
        <f t="shared" si="52"/>
        <v>✔️</v>
      </c>
      <c r="AA107" s="42" t="str">
        <f t="shared" si="53"/>
        <v>✔️</v>
      </c>
      <c r="AB107" s="42" t="str">
        <f t="shared" si="54"/>
        <v>❌</v>
      </c>
      <c r="AC107" s="57">
        <f t="shared" si="55"/>
        <v>6</v>
      </c>
      <c r="AD107" s="57">
        <f t="shared" si="56"/>
        <v>2</v>
      </c>
      <c r="AE107" s="57">
        <f t="shared" si="57"/>
        <v>0</v>
      </c>
      <c r="AF107" s="155">
        <f t="shared" si="58"/>
        <v>0.75</v>
      </c>
      <c r="AG107" s="58">
        <f t="shared" si="33"/>
        <v>9</v>
      </c>
      <c r="AH107" s="57">
        <f t="shared" si="34"/>
        <v>3</v>
      </c>
      <c r="AI107" s="57">
        <f t="shared" si="35"/>
        <v>0</v>
      </c>
      <c r="AJ107" s="155">
        <f t="shared" si="59"/>
        <v>0.75</v>
      </c>
      <c r="AK107" s="58">
        <f t="shared" si="36"/>
        <v>3</v>
      </c>
      <c r="AL107" s="57">
        <f t="shared" si="37"/>
        <v>2</v>
      </c>
      <c r="AM107" s="57">
        <f t="shared" si="38"/>
        <v>0</v>
      </c>
      <c r="AN107" s="155">
        <f t="shared" si="60"/>
        <v>0.6</v>
      </c>
      <c r="AO107" s="155">
        <f t="shared" si="61"/>
        <v>0.6</v>
      </c>
      <c r="AP107"/>
      <c r="AQ107"/>
      <c r="AR107"/>
      <c r="AS107"/>
    </row>
    <row r="108" spans="1:45" ht="62.4" thickTop="1" thickBot="1" x14ac:dyDescent="0.7">
      <c r="A108" s="36">
        <v>29</v>
      </c>
      <c r="B108" s="222" t="str">
        <f t="shared" si="62"/>
        <v>MENDEZ MAMAMI DALIA</v>
      </c>
      <c r="C108" s="223"/>
      <c r="D108" s="40" t="str">
        <f t="shared" si="39"/>
        <v>❌</v>
      </c>
      <c r="E108" s="40" t="str">
        <f t="shared" si="39"/>
        <v>✔️</v>
      </c>
      <c r="F108" s="40" t="str">
        <f t="shared" si="40"/>
        <v>✔️</v>
      </c>
      <c r="G108" s="40" t="str">
        <f t="shared" ref="G108:H108" si="193">M42</f>
        <v>❌</v>
      </c>
      <c r="H108" s="40" t="str">
        <f t="shared" si="193"/>
        <v>✔️</v>
      </c>
      <c r="I108" s="40" t="str">
        <f t="shared" si="42"/>
        <v>✔️</v>
      </c>
      <c r="J108" s="40" t="str">
        <f t="shared" ref="J108:K108" si="194">W42</f>
        <v>✔️</v>
      </c>
      <c r="K108" s="40" t="str">
        <f t="shared" si="194"/>
        <v>✔️</v>
      </c>
      <c r="L108" s="41" t="str">
        <f t="shared" si="44"/>
        <v>✔️</v>
      </c>
      <c r="M108" s="41" t="str">
        <f t="shared" si="45"/>
        <v>✔️</v>
      </c>
      <c r="N108" s="41" t="str">
        <f t="shared" si="46"/>
        <v>❌</v>
      </c>
      <c r="O108" s="41" t="str">
        <f t="shared" ref="O108:Q108" si="195">O42</f>
        <v>✔️</v>
      </c>
      <c r="P108" s="41" t="str">
        <f t="shared" si="195"/>
        <v>❌</v>
      </c>
      <c r="Q108" s="41" t="str">
        <f t="shared" si="195"/>
        <v>✔️</v>
      </c>
      <c r="R108" s="41" t="str">
        <f t="shared" ref="R108:T108" si="196">T42</f>
        <v>✔️</v>
      </c>
      <c r="S108" s="41" t="str">
        <f t="shared" si="196"/>
        <v>❌</v>
      </c>
      <c r="T108" s="41" t="str">
        <f t="shared" si="196"/>
        <v>✔️</v>
      </c>
      <c r="U108" s="41" t="str">
        <f t="shared" ref="U108:W108" si="197">Y42</f>
        <v>✔️</v>
      </c>
      <c r="V108" s="41" t="str">
        <f t="shared" si="197"/>
        <v>✔️</v>
      </c>
      <c r="W108" s="41" t="str">
        <f t="shared" si="197"/>
        <v>✔️</v>
      </c>
      <c r="X108" s="42" t="str">
        <f t="shared" si="50"/>
        <v>❌</v>
      </c>
      <c r="Y108" s="42" t="str">
        <f t="shared" si="51"/>
        <v>✔️</v>
      </c>
      <c r="Z108" s="42" t="str">
        <f t="shared" si="52"/>
        <v>✔️</v>
      </c>
      <c r="AA108" s="42" t="str">
        <f t="shared" si="53"/>
        <v>✔️</v>
      </c>
      <c r="AB108" s="42" t="str">
        <f t="shared" si="54"/>
        <v>❌</v>
      </c>
      <c r="AC108" s="57">
        <f t="shared" si="55"/>
        <v>6</v>
      </c>
      <c r="AD108" s="57">
        <f t="shared" si="56"/>
        <v>2</v>
      </c>
      <c r="AE108" s="57">
        <f t="shared" si="57"/>
        <v>0</v>
      </c>
      <c r="AF108" s="155">
        <f t="shared" si="58"/>
        <v>0.75</v>
      </c>
      <c r="AG108" s="58">
        <f t="shared" si="33"/>
        <v>9</v>
      </c>
      <c r="AH108" s="57">
        <f t="shared" si="34"/>
        <v>3</v>
      </c>
      <c r="AI108" s="57">
        <f t="shared" si="35"/>
        <v>0</v>
      </c>
      <c r="AJ108" s="155">
        <f t="shared" si="59"/>
        <v>0.75</v>
      </c>
      <c r="AK108" s="58">
        <f t="shared" si="36"/>
        <v>3</v>
      </c>
      <c r="AL108" s="57">
        <f t="shared" si="37"/>
        <v>2</v>
      </c>
      <c r="AM108" s="57">
        <f t="shared" si="38"/>
        <v>0</v>
      </c>
      <c r="AN108" s="155">
        <f t="shared" si="60"/>
        <v>0.6</v>
      </c>
      <c r="AO108" s="155">
        <f t="shared" si="61"/>
        <v>0.6</v>
      </c>
      <c r="AP108"/>
      <c r="AQ108"/>
      <c r="AR108"/>
      <c r="AS108"/>
    </row>
    <row r="109" spans="1:45" ht="62.4" thickTop="1" thickBot="1" x14ac:dyDescent="0.7">
      <c r="A109" s="142">
        <v>30</v>
      </c>
      <c r="B109" s="220" t="str">
        <f t="shared" si="62"/>
        <v>NORIEGA LINARES JOSE</v>
      </c>
      <c r="C109" s="221"/>
      <c r="D109" s="40" t="str">
        <f t="shared" si="39"/>
        <v>❌</v>
      </c>
      <c r="E109" s="40" t="str">
        <f t="shared" si="39"/>
        <v>✔️</v>
      </c>
      <c r="F109" s="40" t="str">
        <f t="shared" si="40"/>
        <v>✔️</v>
      </c>
      <c r="G109" s="40" t="str">
        <f t="shared" ref="G109:H109" si="198">M43</f>
        <v>✔️</v>
      </c>
      <c r="H109" s="40" t="str">
        <f t="shared" si="198"/>
        <v>✔️</v>
      </c>
      <c r="I109" s="40" t="str">
        <f t="shared" si="42"/>
        <v>✔️</v>
      </c>
      <c r="J109" s="40" t="str">
        <f t="shared" ref="J109:K109" si="199">W43</f>
        <v>✔️</v>
      </c>
      <c r="K109" s="40" t="str">
        <f t="shared" si="199"/>
        <v>✔️</v>
      </c>
      <c r="L109" s="41" t="str">
        <f t="shared" si="44"/>
        <v>✔️</v>
      </c>
      <c r="M109" s="41" t="str">
        <f t="shared" si="45"/>
        <v>✔️</v>
      </c>
      <c r="N109" s="41" t="str">
        <f t="shared" si="46"/>
        <v>❌</v>
      </c>
      <c r="O109" s="41" t="str">
        <f t="shared" ref="O109:Q109" si="200">O43</f>
        <v>✔️</v>
      </c>
      <c r="P109" s="41" t="str">
        <f t="shared" si="200"/>
        <v>❌</v>
      </c>
      <c r="Q109" s="41" t="str">
        <f t="shared" si="200"/>
        <v>✔️</v>
      </c>
      <c r="R109" s="41" t="str">
        <f t="shared" ref="R109:T109" si="201">T43</f>
        <v>✔️</v>
      </c>
      <c r="S109" s="41" t="str">
        <f t="shared" si="201"/>
        <v>❌</v>
      </c>
      <c r="T109" s="41" t="str">
        <f t="shared" si="201"/>
        <v>✔️</v>
      </c>
      <c r="U109" s="41" t="str">
        <f t="shared" ref="U109:W109" si="202">Y43</f>
        <v>✔️</v>
      </c>
      <c r="V109" s="41" t="str">
        <f t="shared" si="202"/>
        <v>✔️</v>
      </c>
      <c r="W109" s="41" t="str">
        <f t="shared" si="202"/>
        <v>✔️</v>
      </c>
      <c r="X109" s="42" t="str">
        <f t="shared" si="50"/>
        <v>❌</v>
      </c>
      <c r="Y109" s="42" t="str">
        <f t="shared" si="51"/>
        <v>✔️</v>
      </c>
      <c r="Z109" s="42" t="str">
        <f t="shared" si="52"/>
        <v>✔️</v>
      </c>
      <c r="AA109" s="42" t="str">
        <f t="shared" si="53"/>
        <v>✔️</v>
      </c>
      <c r="AB109" s="42" t="str">
        <f t="shared" si="54"/>
        <v>❌</v>
      </c>
      <c r="AC109" s="57">
        <f t="shared" si="55"/>
        <v>7</v>
      </c>
      <c r="AD109" s="57">
        <f t="shared" si="56"/>
        <v>1</v>
      </c>
      <c r="AE109" s="57">
        <f t="shared" si="57"/>
        <v>0</v>
      </c>
      <c r="AF109" s="155">
        <f t="shared" si="58"/>
        <v>0.875</v>
      </c>
      <c r="AG109" s="58">
        <f t="shared" si="33"/>
        <v>9</v>
      </c>
      <c r="AH109" s="57">
        <f t="shared" si="34"/>
        <v>3</v>
      </c>
      <c r="AI109" s="57">
        <f t="shared" si="35"/>
        <v>0</v>
      </c>
      <c r="AJ109" s="155">
        <f t="shared" si="59"/>
        <v>0.75</v>
      </c>
      <c r="AK109" s="58">
        <f t="shared" si="36"/>
        <v>3</v>
      </c>
      <c r="AL109" s="57">
        <f t="shared" si="37"/>
        <v>2</v>
      </c>
      <c r="AM109" s="57">
        <f t="shared" si="38"/>
        <v>0</v>
      </c>
      <c r="AN109" s="155">
        <f t="shared" si="60"/>
        <v>0.6</v>
      </c>
      <c r="AO109" s="155">
        <f t="shared" si="61"/>
        <v>0.6</v>
      </c>
      <c r="AP109"/>
      <c r="AQ109"/>
      <c r="AR109"/>
      <c r="AS109"/>
    </row>
    <row r="110" spans="1:45" ht="62.4" thickTop="1" thickBot="1" x14ac:dyDescent="0.7">
      <c r="A110" s="36">
        <v>31</v>
      </c>
      <c r="B110" s="222">
        <f t="shared" si="62"/>
        <v>0</v>
      </c>
      <c r="C110" s="223"/>
      <c r="D110" s="40">
        <f t="shared" si="39"/>
        <v>0</v>
      </c>
      <c r="E110" s="40">
        <f t="shared" si="39"/>
        <v>0</v>
      </c>
      <c r="F110" s="40">
        <f t="shared" si="40"/>
        <v>0</v>
      </c>
      <c r="G110" s="40">
        <f t="shared" ref="G110:H110" si="203">M44</f>
        <v>0</v>
      </c>
      <c r="H110" s="40">
        <f t="shared" si="203"/>
        <v>0</v>
      </c>
      <c r="I110" s="40">
        <f t="shared" si="42"/>
        <v>0</v>
      </c>
      <c r="J110" s="40">
        <f t="shared" ref="J110:K110" si="204">W44</f>
        <v>0</v>
      </c>
      <c r="K110" s="40">
        <f t="shared" si="204"/>
        <v>0</v>
      </c>
      <c r="L110" s="41">
        <f t="shared" si="44"/>
        <v>0</v>
      </c>
      <c r="M110" s="41">
        <f t="shared" si="45"/>
        <v>0</v>
      </c>
      <c r="N110" s="41">
        <f t="shared" si="46"/>
        <v>0</v>
      </c>
      <c r="O110" s="41">
        <f t="shared" ref="O110:Q110" si="205">O44</f>
        <v>0</v>
      </c>
      <c r="P110" s="41">
        <f t="shared" si="205"/>
        <v>0</v>
      </c>
      <c r="Q110" s="41">
        <f t="shared" si="205"/>
        <v>0</v>
      </c>
      <c r="R110" s="41">
        <f t="shared" ref="R110:T110" si="206">T44</f>
        <v>0</v>
      </c>
      <c r="S110" s="41">
        <f t="shared" si="206"/>
        <v>0</v>
      </c>
      <c r="T110" s="41">
        <f t="shared" si="206"/>
        <v>0</v>
      </c>
      <c r="U110" s="41">
        <f t="shared" ref="U110:W110" si="207">Y44</f>
        <v>0</v>
      </c>
      <c r="V110" s="41">
        <f t="shared" si="207"/>
        <v>0</v>
      </c>
      <c r="W110" s="41">
        <f t="shared" si="207"/>
        <v>0</v>
      </c>
      <c r="X110" s="42">
        <f t="shared" si="50"/>
        <v>0</v>
      </c>
      <c r="Y110" s="42">
        <f t="shared" si="51"/>
        <v>0</v>
      </c>
      <c r="Z110" s="42">
        <f t="shared" si="52"/>
        <v>0</v>
      </c>
      <c r="AA110" s="42">
        <f t="shared" si="53"/>
        <v>0</v>
      </c>
      <c r="AB110" s="42">
        <f t="shared" si="54"/>
        <v>0</v>
      </c>
      <c r="AC110" s="57">
        <f t="shared" si="55"/>
        <v>0</v>
      </c>
      <c r="AD110" s="57">
        <f t="shared" si="56"/>
        <v>0</v>
      </c>
      <c r="AE110" s="57">
        <f t="shared" si="57"/>
        <v>0</v>
      </c>
      <c r="AF110" s="155">
        <f t="shared" si="58"/>
        <v>0</v>
      </c>
      <c r="AG110" s="58">
        <f t="shared" si="33"/>
        <v>0</v>
      </c>
      <c r="AH110" s="57">
        <f t="shared" si="34"/>
        <v>0</v>
      </c>
      <c r="AI110" s="57">
        <f t="shared" si="35"/>
        <v>0</v>
      </c>
      <c r="AJ110" s="155">
        <f t="shared" si="59"/>
        <v>0</v>
      </c>
      <c r="AK110" s="58">
        <f t="shared" si="36"/>
        <v>0</v>
      </c>
      <c r="AL110" s="57">
        <f t="shared" si="37"/>
        <v>0</v>
      </c>
      <c r="AM110" s="57">
        <f t="shared" si="38"/>
        <v>0</v>
      </c>
      <c r="AN110" s="155">
        <f t="shared" si="60"/>
        <v>0</v>
      </c>
      <c r="AO110" s="155">
        <f t="shared" si="61"/>
        <v>0</v>
      </c>
      <c r="AP110"/>
      <c r="AQ110"/>
      <c r="AR110"/>
      <c r="AS110"/>
    </row>
    <row r="111" spans="1:45" ht="62.4" thickTop="1" thickBot="1" x14ac:dyDescent="0.7">
      <c r="A111" s="142">
        <v>32</v>
      </c>
      <c r="B111" s="220">
        <f t="shared" si="62"/>
        <v>0</v>
      </c>
      <c r="C111" s="221"/>
      <c r="D111" s="40">
        <f t="shared" si="39"/>
        <v>0</v>
      </c>
      <c r="E111" s="40">
        <f t="shared" si="39"/>
        <v>0</v>
      </c>
      <c r="F111" s="40">
        <f t="shared" si="40"/>
        <v>0</v>
      </c>
      <c r="G111" s="40">
        <f t="shared" ref="G111:H111" si="208">M45</f>
        <v>0</v>
      </c>
      <c r="H111" s="40">
        <f t="shared" si="208"/>
        <v>0</v>
      </c>
      <c r="I111" s="40">
        <f t="shared" si="42"/>
        <v>0</v>
      </c>
      <c r="J111" s="40">
        <f t="shared" ref="J111:K111" si="209">W45</f>
        <v>0</v>
      </c>
      <c r="K111" s="40">
        <f t="shared" si="209"/>
        <v>0</v>
      </c>
      <c r="L111" s="41">
        <f t="shared" si="44"/>
        <v>0</v>
      </c>
      <c r="M111" s="41">
        <f t="shared" si="45"/>
        <v>0</v>
      </c>
      <c r="N111" s="41">
        <f t="shared" si="46"/>
        <v>0</v>
      </c>
      <c r="O111" s="41">
        <f t="shared" ref="O111:Q111" si="210">O45</f>
        <v>0</v>
      </c>
      <c r="P111" s="41">
        <f t="shared" si="210"/>
        <v>0</v>
      </c>
      <c r="Q111" s="41">
        <f t="shared" si="210"/>
        <v>0</v>
      </c>
      <c r="R111" s="41">
        <f t="shared" ref="R111:T111" si="211">T45</f>
        <v>0</v>
      </c>
      <c r="S111" s="41">
        <f t="shared" si="211"/>
        <v>0</v>
      </c>
      <c r="T111" s="41">
        <f t="shared" si="211"/>
        <v>0</v>
      </c>
      <c r="U111" s="41">
        <f t="shared" ref="U111:W111" si="212">Y45</f>
        <v>0</v>
      </c>
      <c r="V111" s="41">
        <f t="shared" si="212"/>
        <v>0</v>
      </c>
      <c r="W111" s="41">
        <f t="shared" si="212"/>
        <v>0</v>
      </c>
      <c r="X111" s="42">
        <f t="shared" si="50"/>
        <v>0</v>
      </c>
      <c r="Y111" s="42">
        <f t="shared" si="51"/>
        <v>0</v>
      </c>
      <c r="Z111" s="42">
        <f t="shared" si="52"/>
        <v>0</v>
      </c>
      <c r="AA111" s="42">
        <f t="shared" si="53"/>
        <v>0</v>
      </c>
      <c r="AB111" s="42">
        <f t="shared" si="54"/>
        <v>0</v>
      </c>
      <c r="AC111" s="57">
        <f t="shared" si="55"/>
        <v>0</v>
      </c>
      <c r="AD111" s="57">
        <f t="shared" si="56"/>
        <v>0</v>
      </c>
      <c r="AE111" s="57">
        <f t="shared" si="57"/>
        <v>0</v>
      </c>
      <c r="AF111" s="155">
        <f t="shared" si="58"/>
        <v>0</v>
      </c>
      <c r="AG111" s="58">
        <f t="shared" si="33"/>
        <v>0</v>
      </c>
      <c r="AH111" s="57">
        <f t="shared" si="34"/>
        <v>0</v>
      </c>
      <c r="AI111" s="57">
        <f t="shared" si="35"/>
        <v>0</v>
      </c>
      <c r="AJ111" s="155">
        <f t="shared" si="59"/>
        <v>0</v>
      </c>
      <c r="AK111" s="58">
        <f t="shared" si="36"/>
        <v>0</v>
      </c>
      <c r="AL111" s="57">
        <f t="shared" si="37"/>
        <v>0</v>
      </c>
      <c r="AM111" s="57">
        <f t="shared" si="38"/>
        <v>0</v>
      </c>
      <c r="AN111" s="155">
        <f t="shared" si="60"/>
        <v>0</v>
      </c>
      <c r="AO111" s="155">
        <f t="shared" si="61"/>
        <v>0</v>
      </c>
      <c r="AP111"/>
      <c r="AQ111"/>
      <c r="AR111"/>
      <c r="AS111"/>
    </row>
    <row r="112" spans="1:45" ht="62.4" thickTop="1" thickBot="1" x14ac:dyDescent="0.7">
      <c r="A112" s="36">
        <v>33</v>
      </c>
      <c r="B112" s="222">
        <f t="shared" si="62"/>
        <v>0</v>
      </c>
      <c r="C112" s="223"/>
      <c r="D112" s="40">
        <f t="shared" si="39"/>
        <v>0</v>
      </c>
      <c r="E112" s="40">
        <f t="shared" si="39"/>
        <v>0</v>
      </c>
      <c r="F112" s="40">
        <f t="shared" si="40"/>
        <v>0</v>
      </c>
      <c r="G112" s="40">
        <f t="shared" ref="G112:H112" si="213">M46</f>
        <v>0</v>
      </c>
      <c r="H112" s="40">
        <f t="shared" si="213"/>
        <v>0</v>
      </c>
      <c r="I112" s="40">
        <f t="shared" si="42"/>
        <v>0</v>
      </c>
      <c r="J112" s="40">
        <f t="shared" ref="J112:K112" si="214">W46</f>
        <v>0</v>
      </c>
      <c r="K112" s="40">
        <f t="shared" si="214"/>
        <v>0</v>
      </c>
      <c r="L112" s="41">
        <f t="shared" si="44"/>
        <v>0</v>
      </c>
      <c r="M112" s="41">
        <f t="shared" si="45"/>
        <v>0</v>
      </c>
      <c r="N112" s="41">
        <f t="shared" si="46"/>
        <v>0</v>
      </c>
      <c r="O112" s="41">
        <f t="shared" ref="O112:Q112" si="215">O46</f>
        <v>0</v>
      </c>
      <c r="P112" s="41">
        <f t="shared" si="215"/>
        <v>0</v>
      </c>
      <c r="Q112" s="41">
        <f t="shared" si="215"/>
        <v>0</v>
      </c>
      <c r="R112" s="41">
        <f t="shared" ref="R112:T112" si="216">T46</f>
        <v>0</v>
      </c>
      <c r="S112" s="41">
        <f t="shared" si="216"/>
        <v>0</v>
      </c>
      <c r="T112" s="41">
        <f t="shared" si="216"/>
        <v>0</v>
      </c>
      <c r="U112" s="41">
        <f t="shared" ref="U112:W112" si="217">Y46</f>
        <v>0</v>
      </c>
      <c r="V112" s="41">
        <f t="shared" si="217"/>
        <v>0</v>
      </c>
      <c r="W112" s="41">
        <f t="shared" si="217"/>
        <v>0</v>
      </c>
      <c r="X112" s="42">
        <f t="shared" si="50"/>
        <v>0</v>
      </c>
      <c r="Y112" s="42">
        <f t="shared" si="51"/>
        <v>0</v>
      </c>
      <c r="Z112" s="42">
        <f t="shared" si="52"/>
        <v>0</v>
      </c>
      <c r="AA112" s="42">
        <f t="shared" si="53"/>
        <v>0</v>
      </c>
      <c r="AB112" s="42">
        <f t="shared" si="54"/>
        <v>0</v>
      </c>
      <c r="AC112" s="57">
        <f t="shared" si="55"/>
        <v>0</v>
      </c>
      <c r="AD112" s="57">
        <f t="shared" si="56"/>
        <v>0</v>
      </c>
      <c r="AE112" s="57">
        <f t="shared" si="57"/>
        <v>0</v>
      </c>
      <c r="AF112" s="155">
        <f t="shared" si="58"/>
        <v>0</v>
      </c>
      <c r="AG112" s="58">
        <f t="shared" si="33"/>
        <v>0</v>
      </c>
      <c r="AH112" s="57">
        <f t="shared" si="34"/>
        <v>0</v>
      </c>
      <c r="AI112" s="57">
        <f t="shared" si="35"/>
        <v>0</v>
      </c>
      <c r="AJ112" s="155">
        <f t="shared" si="59"/>
        <v>0</v>
      </c>
      <c r="AK112" s="58">
        <f t="shared" si="36"/>
        <v>0</v>
      </c>
      <c r="AL112" s="57">
        <f t="shared" si="37"/>
        <v>0</v>
      </c>
      <c r="AM112" s="57">
        <f t="shared" si="38"/>
        <v>0</v>
      </c>
      <c r="AN112" s="155">
        <f t="shared" si="60"/>
        <v>0</v>
      </c>
      <c r="AO112" s="155">
        <f t="shared" si="61"/>
        <v>0</v>
      </c>
      <c r="AP112"/>
      <c r="AQ112"/>
      <c r="AR112"/>
      <c r="AS112"/>
    </row>
    <row r="113" spans="1:45" ht="62.4" thickTop="1" thickBot="1" x14ac:dyDescent="0.7">
      <c r="A113" s="142">
        <v>34</v>
      </c>
      <c r="B113" s="220">
        <f t="shared" si="62"/>
        <v>0</v>
      </c>
      <c r="C113" s="221"/>
      <c r="D113" s="40">
        <f t="shared" si="39"/>
        <v>0</v>
      </c>
      <c r="E113" s="40">
        <f t="shared" si="39"/>
        <v>0</v>
      </c>
      <c r="F113" s="40">
        <f t="shared" si="40"/>
        <v>0</v>
      </c>
      <c r="G113" s="40">
        <f t="shared" ref="G113:H113" si="218">M47</f>
        <v>0</v>
      </c>
      <c r="H113" s="40">
        <f t="shared" si="218"/>
        <v>0</v>
      </c>
      <c r="I113" s="40">
        <f t="shared" si="42"/>
        <v>0</v>
      </c>
      <c r="J113" s="40">
        <f t="shared" ref="J113:K113" si="219">W47</f>
        <v>0</v>
      </c>
      <c r="K113" s="40">
        <f t="shared" si="219"/>
        <v>0</v>
      </c>
      <c r="L113" s="41">
        <f t="shared" si="44"/>
        <v>0</v>
      </c>
      <c r="M113" s="41">
        <f t="shared" si="45"/>
        <v>0</v>
      </c>
      <c r="N113" s="41">
        <f t="shared" si="46"/>
        <v>0</v>
      </c>
      <c r="O113" s="41">
        <f t="shared" ref="O113:Q113" si="220">O47</f>
        <v>0</v>
      </c>
      <c r="P113" s="41">
        <f t="shared" si="220"/>
        <v>0</v>
      </c>
      <c r="Q113" s="41">
        <f t="shared" si="220"/>
        <v>0</v>
      </c>
      <c r="R113" s="41">
        <f t="shared" ref="R113:T113" si="221">T47</f>
        <v>0</v>
      </c>
      <c r="S113" s="41">
        <f t="shared" si="221"/>
        <v>0</v>
      </c>
      <c r="T113" s="41">
        <f t="shared" si="221"/>
        <v>0</v>
      </c>
      <c r="U113" s="41">
        <f t="shared" ref="U113:W113" si="222">Y47</f>
        <v>0</v>
      </c>
      <c r="V113" s="41">
        <f t="shared" si="222"/>
        <v>0</v>
      </c>
      <c r="W113" s="41">
        <f t="shared" si="222"/>
        <v>0</v>
      </c>
      <c r="X113" s="42">
        <f t="shared" si="50"/>
        <v>0</v>
      </c>
      <c r="Y113" s="42">
        <f t="shared" si="51"/>
        <v>0</v>
      </c>
      <c r="Z113" s="42">
        <f t="shared" si="52"/>
        <v>0</v>
      </c>
      <c r="AA113" s="42">
        <f t="shared" si="53"/>
        <v>0</v>
      </c>
      <c r="AB113" s="42">
        <f t="shared" si="54"/>
        <v>0</v>
      </c>
      <c r="AC113" s="57">
        <f t="shared" si="55"/>
        <v>0</v>
      </c>
      <c r="AD113" s="57">
        <f t="shared" si="56"/>
        <v>0</v>
      </c>
      <c r="AE113" s="57">
        <f t="shared" si="57"/>
        <v>0</v>
      </c>
      <c r="AF113" s="155">
        <f t="shared" si="58"/>
        <v>0</v>
      </c>
      <c r="AG113" s="58">
        <f t="shared" si="33"/>
        <v>0</v>
      </c>
      <c r="AH113" s="57">
        <f t="shared" si="34"/>
        <v>0</v>
      </c>
      <c r="AI113" s="57">
        <f t="shared" si="35"/>
        <v>0</v>
      </c>
      <c r="AJ113" s="155">
        <f t="shared" si="59"/>
        <v>0</v>
      </c>
      <c r="AK113" s="58">
        <f t="shared" si="36"/>
        <v>0</v>
      </c>
      <c r="AL113" s="57">
        <f t="shared" si="37"/>
        <v>0</v>
      </c>
      <c r="AM113" s="57">
        <f t="shared" si="38"/>
        <v>0</v>
      </c>
      <c r="AN113" s="155">
        <f t="shared" si="60"/>
        <v>0</v>
      </c>
      <c r="AO113" s="155">
        <f t="shared" si="61"/>
        <v>0</v>
      </c>
      <c r="AP113"/>
      <c r="AQ113"/>
      <c r="AR113"/>
      <c r="AS113"/>
    </row>
    <row r="114" spans="1:45" ht="62.4" thickTop="1" thickBot="1" x14ac:dyDescent="0.7">
      <c r="A114" s="36">
        <v>35</v>
      </c>
      <c r="B114" s="222">
        <f t="shared" si="62"/>
        <v>0</v>
      </c>
      <c r="C114" s="223"/>
      <c r="D114" s="40">
        <f t="shared" si="39"/>
        <v>0</v>
      </c>
      <c r="E114" s="40">
        <f t="shared" si="39"/>
        <v>0</v>
      </c>
      <c r="F114" s="40">
        <f t="shared" si="40"/>
        <v>0</v>
      </c>
      <c r="G114" s="40">
        <f t="shared" ref="G114:H114" si="223">M48</f>
        <v>0</v>
      </c>
      <c r="H114" s="40">
        <f t="shared" si="223"/>
        <v>0</v>
      </c>
      <c r="I114" s="40">
        <f t="shared" si="42"/>
        <v>0</v>
      </c>
      <c r="J114" s="40">
        <f t="shared" ref="J114:K114" si="224">W48</f>
        <v>0</v>
      </c>
      <c r="K114" s="40">
        <f t="shared" si="224"/>
        <v>0</v>
      </c>
      <c r="L114" s="41">
        <f t="shared" si="44"/>
        <v>0</v>
      </c>
      <c r="M114" s="41">
        <f t="shared" si="45"/>
        <v>0</v>
      </c>
      <c r="N114" s="41">
        <f t="shared" si="46"/>
        <v>0</v>
      </c>
      <c r="O114" s="41">
        <f t="shared" ref="O114:Q114" si="225">O48</f>
        <v>0</v>
      </c>
      <c r="P114" s="41">
        <f t="shared" si="225"/>
        <v>0</v>
      </c>
      <c r="Q114" s="41">
        <f t="shared" si="225"/>
        <v>0</v>
      </c>
      <c r="R114" s="41">
        <f t="shared" ref="R114:T114" si="226">T48</f>
        <v>0</v>
      </c>
      <c r="S114" s="41">
        <f t="shared" si="226"/>
        <v>0</v>
      </c>
      <c r="T114" s="41">
        <f t="shared" si="226"/>
        <v>0</v>
      </c>
      <c r="U114" s="41">
        <f t="shared" ref="U114:W114" si="227">Y48</f>
        <v>0</v>
      </c>
      <c r="V114" s="41">
        <f t="shared" si="227"/>
        <v>0</v>
      </c>
      <c r="W114" s="41">
        <f t="shared" si="227"/>
        <v>0</v>
      </c>
      <c r="X114" s="42">
        <f t="shared" si="50"/>
        <v>0</v>
      </c>
      <c r="Y114" s="42">
        <f t="shared" si="51"/>
        <v>0</v>
      </c>
      <c r="Z114" s="42">
        <f t="shared" si="52"/>
        <v>0</v>
      </c>
      <c r="AA114" s="42">
        <f t="shared" si="53"/>
        <v>0</v>
      </c>
      <c r="AB114" s="42">
        <f t="shared" si="54"/>
        <v>0</v>
      </c>
      <c r="AC114" s="57">
        <f t="shared" si="55"/>
        <v>0</v>
      </c>
      <c r="AD114" s="57">
        <f t="shared" si="56"/>
        <v>0</v>
      </c>
      <c r="AE114" s="57">
        <f t="shared" si="57"/>
        <v>0</v>
      </c>
      <c r="AF114" s="155">
        <f t="shared" si="58"/>
        <v>0</v>
      </c>
      <c r="AG114" s="58">
        <f t="shared" si="33"/>
        <v>0</v>
      </c>
      <c r="AH114" s="57">
        <f t="shared" si="34"/>
        <v>0</v>
      </c>
      <c r="AI114" s="57">
        <f t="shared" si="35"/>
        <v>0</v>
      </c>
      <c r="AJ114" s="155">
        <f t="shared" si="59"/>
        <v>0</v>
      </c>
      <c r="AK114" s="58">
        <f t="shared" si="36"/>
        <v>0</v>
      </c>
      <c r="AL114" s="57">
        <f t="shared" si="37"/>
        <v>0</v>
      </c>
      <c r="AM114" s="57">
        <f t="shared" si="38"/>
        <v>0</v>
      </c>
      <c r="AN114" s="155">
        <f t="shared" si="60"/>
        <v>0</v>
      </c>
      <c r="AO114" s="155">
        <f t="shared" si="61"/>
        <v>0</v>
      </c>
      <c r="AP114"/>
      <c r="AQ114"/>
      <c r="AR114"/>
      <c r="AS114"/>
    </row>
    <row r="115" spans="1:45" ht="62.4" thickTop="1" thickBot="1" x14ac:dyDescent="0.7">
      <c r="A115" s="142">
        <v>36</v>
      </c>
      <c r="B115" s="220">
        <f t="shared" si="62"/>
        <v>0</v>
      </c>
      <c r="C115" s="221"/>
      <c r="D115" s="40">
        <f t="shared" si="39"/>
        <v>0</v>
      </c>
      <c r="E115" s="40">
        <f t="shared" si="39"/>
        <v>0</v>
      </c>
      <c r="F115" s="40">
        <f t="shared" si="40"/>
        <v>0</v>
      </c>
      <c r="G115" s="40">
        <f t="shared" ref="G115:H115" si="228">M49</f>
        <v>0</v>
      </c>
      <c r="H115" s="40">
        <f t="shared" si="228"/>
        <v>0</v>
      </c>
      <c r="I115" s="40">
        <f t="shared" si="42"/>
        <v>0</v>
      </c>
      <c r="J115" s="40">
        <f t="shared" ref="J115:K115" si="229">W49</f>
        <v>0</v>
      </c>
      <c r="K115" s="40">
        <f t="shared" si="229"/>
        <v>0</v>
      </c>
      <c r="L115" s="41">
        <f t="shared" si="44"/>
        <v>0</v>
      </c>
      <c r="M115" s="41">
        <f t="shared" si="45"/>
        <v>0</v>
      </c>
      <c r="N115" s="41">
        <f t="shared" si="46"/>
        <v>0</v>
      </c>
      <c r="O115" s="41">
        <f t="shared" ref="O115:Q115" si="230">O49</f>
        <v>0</v>
      </c>
      <c r="P115" s="41">
        <f t="shared" si="230"/>
        <v>0</v>
      </c>
      <c r="Q115" s="41">
        <f t="shared" si="230"/>
        <v>0</v>
      </c>
      <c r="R115" s="41">
        <f t="shared" ref="R115:T115" si="231">T49</f>
        <v>0</v>
      </c>
      <c r="S115" s="41">
        <f t="shared" si="231"/>
        <v>0</v>
      </c>
      <c r="T115" s="41">
        <f t="shared" si="231"/>
        <v>0</v>
      </c>
      <c r="U115" s="41">
        <f t="shared" ref="U115:W115" si="232">Y49</f>
        <v>0</v>
      </c>
      <c r="V115" s="41">
        <f t="shared" si="232"/>
        <v>0</v>
      </c>
      <c r="W115" s="41">
        <f t="shared" si="232"/>
        <v>0</v>
      </c>
      <c r="X115" s="42">
        <f t="shared" si="50"/>
        <v>0</v>
      </c>
      <c r="Y115" s="42">
        <f t="shared" si="51"/>
        <v>0</v>
      </c>
      <c r="Z115" s="42">
        <f t="shared" si="52"/>
        <v>0</v>
      </c>
      <c r="AA115" s="42">
        <f t="shared" si="53"/>
        <v>0</v>
      </c>
      <c r="AB115" s="42">
        <f t="shared" si="54"/>
        <v>0</v>
      </c>
      <c r="AC115" s="57">
        <f t="shared" si="55"/>
        <v>0</v>
      </c>
      <c r="AD115" s="57">
        <f t="shared" si="56"/>
        <v>0</v>
      </c>
      <c r="AE115" s="57">
        <f t="shared" si="57"/>
        <v>0</v>
      </c>
      <c r="AF115" s="155">
        <f t="shared" si="58"/>
        <v>0</v>
      </c>
      <c r="AG115" s="58">
        <f t="shared" si="33"/>
        <v>0</v>
      </c>
      <c r="AH115" s="57">
        <f t="shared" si="34"/>
        <v>0</v>
      </c>
      <c r="AI115" s="57">
        <f t="shared" si="35"/>
        <v>0</v>
      </c>
      <c r="AJ115" s="155">
        <f t="shared" si="59"/>
        <v>0</v>
      </c>
      <c r="AK115" s="58">
        <f t="shared" si="36"/>
        <v>0</v>
      </c>
      <c r="AL115" s="57">
        <f t="shared" si="37"/>
        <v>0</v>
      </c>
      <c r="AM115" s="57">
        <f t="shared" si="38"/>
        <v>0</v>
      </c>
      <c r="AN115" s="155">
        <f t="shared" si="60"/>
        <v>0</v>
      </c>
      <c r="AO115" s="155">
        <f t="shared" si="61"/>
        <v>0</v>
      </c>
      <c r="AP115"/>
      <c r="AQ115"/>
      <c r="AR115"/>
      <c r="AS115"/>
    </row>
    <row r="116" spans="1:45" ht="62.4" thickTop="1" thickBot="1" x14ac:dyDescent="0.7">
      <c r="A116" s="36">
        <v>37</v>
      </c>
      <c r="B116" s="222">
        <f t="shared" si="62"/>
        <v>0</v>
      </c>
      <c r="C116" s="223"/>
      <c r="D116" s="40">
        <f t="shared" si="39"/>
        <v>0</v>
      </c>
      <c r="E116" s="40">
        <f t="shared" si="39"/>
        <v>0</v>
      </c>
      <c r="F116" s="40">
        <f t="shared" si="40"/>
        <v>0</v>
      </c>
      <c r="G116" s="40">
        <f t="shared" ref="G116:H116" si="233">M50</f>
        <v>0</v>
      </c>
      <c r="H116" s="40">
        <f t="shared" si="233"/>
        <v>0</v>
      </c>
      <c r="I116" s="40">
        <f t="shared" si="42"/>
        <v>0</v>
      </c>
      <c r="J116" s="40">
        <f t="shared" ref="J116:K116" si="234">W50</f>
        <v>0</v>
      </c>
      <c r="K116" s="40">
        <f t="shared" si="234"/>
        <v>0</v>
      </c>
      <c r="L116" s="41">
        <f t="shared" si="44"/>
        <v>0</v>
      </c>
      <c r="M116" s="41">
        <f t="shared" si="45"/>
        <v>0</v>
      </c>
      <c r="N116" s="41">
        <f t="shared" si="46"/>
        <v>0</v>
      </c>
      <c r="O116" s="41">
        <f t="shared" ref="O116:Q116" si="235">O50</f>
        <v>0</v>
      </c>
      <c r="P116" s="41">
        <f t="shared" si="235"/>
        <v>0</v>
      </c>
      <c r="Q116" s="41">
        <f t="shared" si="235"/>
        <v>0</v>
      </c>
      <c r="R116" s="41">
        <f t="shared" ref="R116:T116" si="236">T50</f>
        <v>0</v>
      </c>
      <c r="S116" s="41">
        <f t="shared" si="236"/>
        <v>0</v>
      </c>
      <c r="T116" s="41">
        <f t="shared" si="236"/>
        <v>0</v>
      </c>
      <c r="U116" s="41">
        <f t="shared" ref="U116:W116" si="237">Y50</f>
        <v>0</v>
      </c>
      <c r="V116" s="41">
        <f t="shared" si="237"/>
        <v>0</v>
      </c>
      <c r="W116" s="41">
        <f t="shared" si="237"/>
        <v>0</v>
      </c>
      <c r="X116" s="42">
        <f t="shared" si="50"/>
        <v>0</v>
      </c>
      <c r="Y116" s="42">
        <f t="shared" si="51"/>
        <v>0</v>
      </c>
      <c r="Z116" s="42">
        <f t="shared" si="52"/>
        <v>0</v>
      </c>
      <c r="AA116" s="42">
        <f t="shared" si="53"/>
        <v>0</v>
      </c>
      <c r="AB116" s="42">
        <f t="shared" si="54"/>
        <v>0</v>
      </c>
      <c r="AC116" s="57">
        <f t="shared" si="55"/>
        <v>0</v>
      </c>
      <c r="AD116" s="57">
        <f t="shared" si="56"/>
        <v>0</v>
      </c>
      <c r="AE116" s="57">
        <f t="shared" si="57"/>
        <v>0</v>
      </c>
      <c r="AF116" s="155">
        <f t="shared" si="58"/>
        <v>0</v>
      </c>
      <c r="AG116" s="58">
        <f t="shared" si="33"/>
        <v>0</v>
      </c>
      <c r="AH116" s="57">
        <f t="shared" si="34"/>
        <v>0</v>
      </c>
      <c r="AI116" s="57">
        <f t="shared" si="35"/>
        <v>0</v>
      </c>
      <c r="AJ116" s="155">
        <f t="shared" si="59"/>
        <v>0</v>
      </c>
      <c r="AK116" s="58">
        <f t="shared" si="36"/>
        <v>0</v>
      </c>
      <c r="AL116" s="57">
        <f t="shared" si="37"/>
        <v>0</v>
      </c>
      <c r="AM116" s="57">
        <f t="shared" si="38"/>
        <v>0</v>
      </c>
      <c r="AN116" s="155">
        <f t="shared" si="60"/>
        <v>0</v>
      </c>
      <c r="AO116" s="155">
        <f t="shared" si="61"/>
        <v>0</v>
      </c>
      <c r="AP116"/>
      <c r="AQ116"/>
      <c r="AR116"/>
      <c r="AS116"/>
    </row>
    <row r="117" spans="1:45" ht="62.4" thickTop="1" thickBot="1" x14ac:dyDescent="0.7">
      <c r="A117" s="142">
        <v>38</v>
      </c>
      <c r="B117" s="220">
        <f t="shared" si="62"/>
        <v>0</v>
      </c>
      <c r="C117" s="221"/>
      <c r="D117" s="40">
        <f t="shared" si="39"/>
        <v>0</v>
      </c>
      <c r="E117" s="40">
        <f t="shared" si="39"/>
        <v>0</v>
      </c>
      <c r="F117" s="40">
        <f t="shared" si="40"/>
        <v>0</v>
      </c>
      <c r="G117" s="40">
        <f t="shared" ref="G117:H117" si="238">M51</f>
        <v>0</v>
      </c>
      <c r="H117" s="40">
        <f t="shared" si="238"/>
        <v>0</v>
      </c>
      <c r="I117" s="40">
        <f t="shared" si="42"/>
        <v>0</v>
      </c>
      <c r="J117" s="40">
        <f t="shared" ref="J117:K117" si="239">W51</f>
        <v>0</v>
      </c>
      <c r="K117" s="40">
        <f t="shared" si="239"/>
        <v>0</v>
      </c>
      <c r="L117" s="41">
        <f t="shared" si="44"/>
        <v>0</v>
      </c>
      <c r="M117" s="41">
        <f t="shared" si="45"/>
        <v>0</v>
      </c>
      <c r="N117" s="41">
        <f t="shared" si="46"/>
        <v>0</v>
      </c>
      <c r="O117" s="41">
        <f t="shared" ref="O117:Q117" si="240">O51</f>
        <v>0</v>
      </c>
      <c r="P117" s="41">
        <f t="shared" si="240"/>
        <v>0</v>
      </c>
      <c r="Q117" s="41">
        <f t="shared" si="240"/>
        <v>0</v>
      </c>
      <c r="R117" s="41">
        <f t="shared" ref="R117:T117" si="241">T51</f>
        <v>0</v>
      </c>
      <c r="S117" s="41">
        <f t="shared" si="241"/>
        <v>0</v>
      </c>
      <c r="T117" s="41">
        <f t="shared" si="241"/>
        <v>0</v>
      </c>
      <c r="U117" s="41">
        <f t="shared" ref="U117:W117" si="242">Y51</f>
        <v>0</v>
      </c>
      <c r="V117" s="41">
        <f t="shared" si="242"/>
        <v>0</v>
      </c>
      <c r="W117" s="41">
        <f t="shared" si="242"/>
        <v>0</v>
      </c>
      <c r="X117" s="42">
        <f t="shared" si="50"/>
        <v>0</v>
      </c>
      <c r="Y117" s="42">
        <f t="shared" si="51"/>
        <v>0</v>
      </c>
      <c r="Z117" s="42">
        <f t="shared" si="52"/>
        <v>0</v>
      </c>
      <c r="AA117" s="42">
        <f t="shared" si="53"/>
        <v>0</v>
      </c>
      <c r="AB117" s="42">
        <f t="shared" si="54"/>
        <v>0</v>
      </c>
      <c r="AC117" s="57">
        <f t="shared" si="55"/>
        <v>0</v>
      </c>
      <c r="AD117" s="57">
        <f t="shared" si="56"/>
        <v>0</v>
      </c>
      <c r="AE117" s="57">
        <f t="shared" si="57"/>
        <v>0</v>
      </c>
      <c r="AF117" s="155">
        <f t="shared" si="58"/>
        <v>0</v>
      </c>
      <c r="AG117" s="58">
        <f t="shared" si="33"/>
        <v>0</v>
      </c>
      <c r="AH117" s="57">
        <f t="shared" si="34"/>
        <v>0</v>
      </c>
      <c r="AI117" s="57">
        <f t="shared" si="35"/>
        <v>0</v>
      </c>
      <c r="AJ117" s="155">
        <f t="shared" si="59"/>
        <v>0</v>
      </c>
      <c r="AK117" s="58">
        <f t="shared" si="36"/>
        <v>0</v>
      </c>
      <c r="AL117" s="57">
        <f t="shared" si="37"/>
        <v>0</v>
      </c>
      <c r="AM117" s="57">
        <f t="shared" si="38"/>
        <v>0</v>
      </c>
      <c r="AN117" s="155">
        <f t="shared" si="60"/>
        <v>0</v>
      </c>
      <c r="AO117" s="155">
        <f t="shared" si="61"/>
        <v>0</v>
      </c>
      <c r="AP117"/>
      <c r="AQ117"/>
      <c r="AR117"/>
      <c r="AS117"/>
    </row>
    <row r="118" spans="1:45" ht="62.4" thickTop="1" thickBot="1" x14ac:dyDescent="0.7">
      <c r="A118" s="36">
        <v>39</v>
      </c>
      <c r="B118" s="222">
        <f t="shared" si="62"/>
        <v>0</v>
      </c>
      <c r="C118" s="223"/>
      <c r="D118" s="40">
        <f t="shared" si="39"/>
        <v>0</v>
      </c>
      <c r="E118" s="40">
        <f t="shared" si="39"/>
        <v>0</v>
      </c>
      <c r="F118" s="40">
        <f t="shared" si="40"/>
        <v>0</v>
      </c>
      <c r="G118" s="40">
        <f t="shared" ref="G118:H118" si="243">M52</f>
        <v>0</v>
      </c>
      <c r="H118" s="40">
        <f t="shared" si="243"/>
        <v>0</v>
      </c>
      <c r="I118" s="40">
        <f t="shared" si="42"/>
        <v>0</v>
      </c>
      <c r="J118" s="40">
        <f t="shared" ref="J118:K118" si="244">W52</f>
        <v>0</v>
      </c>
      <c r="K118" s="40">
        <f t="shared" si="244"/>
        <v>0</v>
      </c>
      <c r="L118" s="41">
        <f t="shared" si="44"/>
        <v>0</v>
      </c>
      <c r="M118" s="41">
        <f t="shared" si="45"/>
        <v>0</v>
      </c>
      <c r="N118" s="41">
        <f t="shared" si="46"/>
        <v>0</v>
      </c>
      <c r="O118" s="41">
        <f t="shared" ref="O118:Q118" si="245">O52</f>
        <v>0</v>
      </c>
      <c r="P118" s="41">
        <f t="shared" si="245"/>
        <v>0</v>
      </c>
      <c r="Q118" s="41">
        <f t="shared" si="245"/>
        <v>0</v>
      </c>
      <c r="R118" s="41">
        <f t="shared" ref="R118:T118" si="246">T52</f>
        <v>0</v>
      </c>
      <c r="S118" s="41">
        <f t="shared" si="246"/>
        <v>0</v>
      </c>
      <c r="T118" s="41">
        <f t="shared" si="246"/>
        <v>0</v>
      </c>
      <c r="U118" s="41">
        <f t="shared" ref="U118:W118" si="247">Y52</f>
        <v>0</v>
      </c>
      <c r="V118" s="41">
        <f t="shared" si="247"/>
        <v>0</v>
      </c>
      <c r="W118" s="41">
        <f t="shared" si="247"/>
        <v>0</v>
      </c>
      <c r="X118" s="42">
        <f t="shared" si="50"/>
        <v>0</v>
      </c>
      <c r="Y118" s="42">
        <f t="shared" si="51"/>
        <v>0</v>
      </c>
      <c r="Z118" s="42">
        <f t="shared" si="52"/>
        <v>0</v>
      </c>
      <c r="AA118" s="42">
        <f t="shared" si="53"/>
        <v>0</v>
      </c>
      <c r="AB118" s="42">
        <f t="shared" si="54"/>
        <v>0</v>
      </c>
      <c r="AC118" s="57">
        <f t="shared" si="55"/>
        <v>0</v>
      </c>
      <c r="AD118" s="57">
        <f t="shared" si="56"/>
        <v>0</v>
      </c>
      <c r="AE118" s="57">
        <f t="shared" si="57"/>
        <v>0</v>
      </c>
      <c r="AF118" s="155">
        <f t="shared" si="58"/>
        <v>0</v>
      </c>
      <c r="AG118" s="58">
        <f t="shared" si="33"/>
        <v>0</v>
      </c>
      <c r="AH118" s="57">
        <f t="shared" si="34"/>
        <v>0</v>
      </c>
      <c r="AI118" s="57">
        <f t="shared" si="35"/>
        <v>0</v>
      </c>
      <c r="AJ118" s="155">
        <f t="shared" si="59"/>
        <v>0</v>
      </c>
      <c r="AK118" s="58">
        <f t="shared" si="36"/>
        <v>0</v>
      </c>
      <c r="AL118" s="57">
        <f t="shared" si="37"/>
        <v>0</v>
      </c>
      <c r="AM118" s="57">
        <f t="shared" si="38"/>
        <v>0</v>
      </c>
      <c r="AN118" s="155">
        <f t="shared" si="60"/>
        <v>0</v>
      </c>
      <c r="AO118" s="155">
        <f t="shared" si="61"/>
        <v>0</v>
      </c>
      <c r="AP118"/>
      <c r="AQ118"/>
      <c r="AR118"/>
      <c r="AS118"/>
    </row>
    <row r="119" spans="1:45" ht="61.8" thickTop="1" x14ac:dyDescent="0.65">
      <c r="A119" s="142">
        <v>40</v>
      </c>
      <c r="B119" s="220">
        <f t="shared" si="62"/>
        <v>0</v>
      </c>
      <c r="C119" s="221"/>
      <c r="D119" s="40">
        <f t="shared" si="39"/>
        <v>0</v>
      </c>
      <c r="E119" s="40">
        <f t="shared" si="39"/>
        <v>0</v>
      </c>
      <c r="F119" s="40">
        <f t="shared" si="40"/>
        <v>0</v>
      </c>
      <c r="G119" s="40">
        <f t="shared" ref="G119:H119" si="248">M53</f>
        <v>0</v>
      </c>
      <c r="H119" s="40">
        <f t="shared" si="248"/>
        <v>0</v>
      </c>
      <c r="I119" s="40">
        <f t="shared" si="42"/>
        <v>0</v>
      </c>
      <c r="J119" s="40">
        <f t="shared" ref="J119:K119" si="249">W53</f>
        <v>0</v>
      </c>
      <c r="K119" s="40">
        <f t="shared" si="249"/>
        <v>0</v>
      </c>
      <c r="L119" s="41">
        <f t="shared" si="44"/>
        <v>0</v>
      </c>
      <c r="M119" s="41">
        <f t="shared" si="45"/>
        <v>0</v>
      </c>
      <c r="N119" s="41">
        <f t="shared" si="46"/>
        <v>0</v>
      </c>
      <c r="O119" s="41">
        <f t="shared" ref="O119:Q119" si="250">O53</f>
        <v>0</v>
      </c>
      <c r="P119" s="41">
        <f t="shared" si="250"/>
        <v>0</v>
      </c>
      <c r="Q119" s="41">
        <f t="shared" si="250"/>
        <v>0</v>
      </c>
      <c r="R119" s="41">
        <f t="shared" ref="R119:T119" si="251">T53</f>
        <v>0</v>
      </c>
      <c r="S119" s="41">
        <f t="shared" si="251"/>
        <v>0</v>
      </c>
      <c r="T119" s="41">
        <f t="shared" si="251"/>
        <v>0</v>
      </c>
      <c r="U119" s="41">
        <f t="shared" ref="U119:W119" si="252">Y53</f>
        <v>0</v>
      </c>
      <c r="V119" s="41">
        <f t="shared" si="252"/>
        <v>0</v>
      </c>
      <c r="W119" s="41">
        <f t="shared" si="252"/>
        <v>0</v>
      </c>
      <c r="X119" s="42">
        <f t="shared" si="50"/>
        <v>0</v>
      </c>
      <c r="Y119" s="42">
        <f t="shared" si="51"/>
        <v>0</v>
      </c>
      <c r="Z119" s="42">
        <f t="shared" si="52"/>
        <v>0</v>
      </c>
      <c r="AA119" s="42">
        <f t="shared" si="53"/>
        <v>0</v>
      </c>
      <c r="AB119" s="42">
        <f t="shared" si="54"/>
        <v>0</v>
      </c>
      <c r="AC119" s="57">
        <f t="shared" si="55"/>
        <v>0</v>
      </c>
      <c r="AD119" s="57">
        <f t="shared" si="56"/>
        <v>0</v>
      </c>
      <c r="AE119" s="57">
        <f t="shared" si="57"/>
        <v>0</v>
      </c>
      <c r="AF119" s="155">
        <f t="shared" si="58"/>
        <v>0</v>
      </c>
      <c r="AG119" s="58">
        <f t="shared" si="33"/>
        <v>0</v>
      </c>
      <c r="AH119" s="57">
        <f t="shared" si="34"/>
        <v>0</v>
      </c>
      <c r="AI119" s="57">
        <f t="shared" si="35"/>
        <v>0</v>
      </c>
      <c r="AJ119" s="155">
        <f t="shared" si="59"/>
        <v>0</v>
      </c>
      <c r="AK119" s="58">
        <f t="shared" si="36"/>
        <v>0</v>
      </c>
      <c r="AL119" s="57">
        <f t="shared" si="37"/>
        <v>0</v>
      </c>
      <c r="AM119" s="57">
        <f t="shared" si="38"/>
        <v>0</v>
      </c>
      <c r="AN119" s="155">
        <f t="shared" si="60"/>
        <v>0</v>
      </c>
      <c r="AO119" s="155">
        <f t="shared" si="61"/>
        <v>0</v>
      </c>
      <c r="AP119"/>
      <c r="AQ119"/>
      <c r="AR119"/>
      <c r="AS119"/>
    </row>
  </sheetData>
  <mergeCells count="92">
    <mergeCell ref="D70:K70"/>
    <mergeCell ref="L70:W70"/>
    <mergeCell ref="X70:AB70"/>
    <mergeCell ref="D78:K78"/>
    <mergeCell ref="AC78:AE78"/>
    <mergeCell ref="AO78:AO79"/>
    <mergeCell ref="AF78:AF79"/>
    <mergeCell ref="AJ78:AJ79"/>
    <mergeCell ref="AN78:AN79"/>
    <mergeCell ref="B72:C72"/>
    <mergeCell ref="B73:C73"/>
    <mergeCell ref="B74:C74"/>
    <mergeCell ref="Z9:AB9"/>
    <mergeCell ref="AB1:AD6"/>
    <mergeCell ref="A6:J6"/>
    <mergeCell ref="C8:K8"/>
    <mergeCell ref="M8:N9"/>
    <mergeCell ref="O8:P9"/>
    <mergeCell ref="S8:U8"/>
    <mergeCell ref="V8:X8"/>
    <mergeCell ref="Z8:AB8"/>
    <mergeCell ref="M7:N7"/>
    <mergeCell ref="O7:P7"/>
    <mergeCell ref="H11:L11"/>
    <mergeCell ref="M11:R11"/>
    <mergeCell ref="S11:W11"/>
    <mergeCell ref="K6:V6"/>
    <mergeCell ref="C9:K9"/>
    <mergeCell ref="S9:U9"/>
    <mergeCell ref="V9:X9"/>
    <mergeCell ref="A12:C12"/>
    <mergeCell ref="B79:C79"/>
    <mergeCell ref="B80:C80"/>
    <mergeCell ref="B81:C81"/>
    <mergeCell ref="B82:C82"/>
    <mergeCell ref="B58:C58"/>
    <mergeCell ref="B59:C59"/>
    <mergeCell ref="B60:C60"/>
    <mergeCell ref="B61:C61"/>
    <mergeCell ref="B83:C83"/>
    <mergeCell ref="B84:C84"/>
    <mergeCell ref="B85:C85"/>
    <mergeCell ref="B86:C86"/>
    <mergeCell ref="B87:C87"/>
    <mergeCell ref="B88:C88"/>
    <mergeCell ref="B89:C89"/>
    <mergeCell ref="B90:C90"/>
    <mergeCell ref="B91:C91"/>
    <mergeCell ref="B92:C92"/>
    <mergeCell ref="B119:C119"/>
    <mergeCell ref="B113:C113"/>
    <mergeCell ref="B114:C114"/>
    <mergeCell ref="B115:C115"/>
    <mergeCell ref="B116:C116"/>
    <mergeCell ref="B117:C117"/>
    <mergeCell ref="B93:C93"/>
    <mergeCell ref="B110:C110"/>
    <mergeCell ref="B111:C111"/>
    <mergeCell ref="B112:C112"/>
    <mergeCell ref="B118:C118"/>
    <mergeCell ref="B94:C94"/>
    <mergeCell ref="B95:C95"/>
    <mergeCell ref="B96:C96"/>
    <mergeCell ref="B97:C97"/>
    <mergeCell ref="B108:C108"/>
    <mergeCell ref="B109:C109"/>
    <mergeCell ref="B106:C106"/>
    <mergeCell ref="B107:C107"/>
    <mergeCell ref="B98:C98"/>
    <mergeCell ref="B99:C99"/>
    <mergeCell ref="B100:C100"/>
    <mergeCell ref="B101:C101"/>
    <mergeCell ref="B102:C102"/>
    <mergeCell ref="B103:C103"/>
    <mergeCell ref="B104:C104"/>
    <mergeCell ref="B105:C105"/>
    <mergeCell ref="AG78:AI78"/>
    <mergeCell ref="AK78:AM78"/>
    <mergeCell ref="L78:W78"/>
    <mergeCell ref="X78:AB78"/>
    <mergeCell ref="AC8:AD8"/>
    <mergeCell ref="AC9:AD9"/>
    <mergeCell ref="AE12:AE13"/>
    <mergeCell ref="AD12:AD13"/>
    <mergeCell ref="AC12:AC13"/>
    <mergeCell ref="AC11:AE11"/>
    <mergeCell ref="AF11:AF13"/>
    <mergeCell ref="AG11:AG13"/>
    <mergeCell ref="X11:AB11"/>
    <mergeCell ref="Y10:AB10"/>
    <mergeCell ref="D10:X10"/>
    <mergeCell ref="D11:G11"/>
  </mergeCells>
  <phoneticPr fontId="11" type="noConversion"/>
  <conditionalFormatting sqref="D7:L7 AB7:AG7 Q7:Y7">
    <cfRule type="cellIs" dxfId="33" priority="55" stopIfTrue="1" operator="between">
      <formula>0</formula>
      <formula>9</formula>
    </cfRule>
    <cfRule type="cellIs" dxfId="32" priority="56" stopIfTrue="1" operator="between">
      <formula>10</formula>
      <formula>12</formula>
    </cfRule>
    <cfRule type="cellIs" dxfId="31" priority="57" stopIfTrue="1" operator="between">
      <formula>13</formula>
      <formula>20</formula>
    </cfRule>
  </conditionalFormatting>
  <conditionalFormatting sqref="D14:AB53">
    <cfRule type="cellIs" dxfId="30" priority="46" operator="equal">
      <formula>"❌"</formula>
    </cfRule>
    <cfRule type="cellIs" dxfId="29" priority="47" operator="equal">
      <formula>"✔️"</formula>
    </cfRule>
  </conditionalFormatting>
  <conditionalFormatting sqref="AF80:AF119">
    <cfRule type="containsText" dxfId="28" priority="41" operator="containsText" text="DEFICIENTE">
      <formula>NOT(ISERROR(SEARCH("DEFICIENTE",AF80)))</formula>
    </cfRule>
    <cfRule type="containsText" dxfId="27" priority="42" operator="containsText" text="REGULAR">
      <formula>NOT(ISERROR(SEARCH("REGULAR",AF80)))</formula>
    </cfRule>
    <cfRule type="containsText" dxfId="26" priority="44" operator="containsText" text="SATISFACTORIO">
      <formula>NOT(ISERROR(SEARCH("SATISFACTORIO",AF80)))</formula>
    </cfRule>
  </conditionalFormatting>
  <conditionalFormatting sqref="AH14">
    <cfRule type="containsText" dxfId="25" priority="28" operator="containsText" text="DEFICIENTE">
      <formula>NOT(ISERROR(SEARCH("DEFICIENTE",AH14)))</formula>
    </cfRule>
    <cfRule type="containsText" dxfId="24" priority="29" operator="containsText" text="REGULAR">
      <formula>NOT(ISERROR(SEARCH("REGULAR",AH14)))</formula>
    </cfRule>
    <cfRule type="containsText" dxfId="23" priority="30" operator="containsText" text="SATISFACTORIO">
      <formula>NOT(ISERROR(SEARCH("SATISFACTORIO",AH14)))</formula>
    </cfRule>
  </conditionalFormatting>
  <conditionalFormatting sqref="AF14:AF53">
    <cfRule type="containsText" dxfId="22" priority="25" operator="containsText" text="DEFICIENTE">
      <formula>NOT(ISERROR(SEARCH("DEFICIENTE",AF14)))</formula>
    </cfRule>
    <cfRule type="containsText" dxfId="21" priority="26" operator="containsText" text="REGULAR">
      <formula>NOT(ISERROR(SEARCH("REGULAR",AF14)))</formula>
    </cfRule>
    <cfRule type="containsText" dxfId="20" priority="27" operator="containsText" text="SATISFACTORIO">
      <formula>NOT(ISERROR(SEARCH("SATISFACTORIO",AF14)))</formula>
    </cfRule>
  </conditionalFormatting>
  <conditionalFormatting sqref="AF15">
    <cfRule type="containsText" dxfId="19" priority="24" operator="containsText" text="BUENO">
      <formula>NOT(ISERROR(SEARCH("BUENO",AF15)))</formula>
    </cfRule>
  </conditionalFormatting>
  <conditionalFormatting sqref="AJ80:AJ119">
    <cfRule type="containsText" dxfId="18" priority="21" operator="containsText" text="DEFICIENTE">
      <formula>NOT(ISERROR(SEARCH("DEFICIENTE",AJ80)))</formula>
    </cfRule>
    <cfRule type="containsText" dxfId="17" priority="22" operator="containsText" text="REGULAR">
      <formula>NOT(ISERROR(SEARCH("REGULAR",AJ80)))</formula>
    </cfRule>
    <cfRule type="containsText" dxfId="16" priority="23" operator="containsText" text="SATISFACTORIO">
      <formula>NOT(ISERROR(SEARCH("SATISFACTORIO",AJ80)))</formula>
    </cfRule>
  </conditionalFormatting>
  <conditionalFormatting sqref="AN80:AN119">
    <cfRule type="containsText" dxfId="15" priority="18" operator="containsText" text="DEFICIENTE">
      <formula>NOT(ISERROR(SEARCH("DEFICIENTE",AN80)))</formula>
    </cfRule>
    <cfRule type="containsText" dxfId="14" priority="19" operator="containsText" text="REGULAR">
      <formula>NOT(ISERROR(SEARCH("REGULAR",AN80)))</formula>
    </cfRule>
    <cfRule type="containsText" dxfId="13" priority="20" operator="containsText" text="SATISFACTORIO">
      <formula>NOT(ISERROR(SEARCH("SATISFACTORIO",AN80)))</formula>
    </cfRule>
  </conditionalFormatting>
  <conditionalFormatting sqref="AG14:AG53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{EFCB65D5-3E83-43D5-9586-E352B371B6CC}</x14:id>
        </ext>
      </extLst>
    </cfRule>
  </conditionalFormatting>
  <conditionalFormatting sqref="AF80:AF119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{DD21BF6F-B2E8-466F-8187-C816BFB2EC29}</x14:id>
        </ext>
      </extLst>
    </cfRule>
  </conditionalFormatting>
  <conditionalFormatting sqref="AJ80:AJ119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{07E968ED-8E6C-4DC0-BD70-9E0E8D87CFDB}</x14:id>
        </ext>
      </extLst>
    </cfRule>
  </conditionalFormatting>
  <conditionalFormatting sqref="AN80:AN119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{9804ED05-B240-4740-8385-36D9322280E8}</x14:id>
        </ext>
      </extLst>
    </cfRule>
  </conditionalFormatting>
  <conditionalFormatting sqref="AO80:AO119">
    <cfRule type="containsText" dxfId="12" priority="3" operator="containsText" text="DEFICIENTE">
      <formula>NOT(ISERROR(SEARCH("DEFICIENTE",AO80)))</formula>
    </cfRule>
    <cfRule type="containsText" dxfId="11" priority="4" operator="containsText" text="REGULAR">
      <formula>NOT(ISERROR(SEARCH("REGULAR",AO80)))</formula>
    </cfRule>
    <cfRule type="containsText" dxfId="10" priority="5" operator="containsText" text="SATISFACTORIO">
      <formula>NOT(ISERROR(SEARCH("SATISFACTORIO",AO80)))</formula>
    </cfRule>
  </conditionalFormatting>
  <conditionalFormatting sqref="AO80:AO119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{EA1C2562-AE4D-4BA5-980D-7C138F3D1945}</x14:id>
        </ext>
      </extLst>
    </cfRule>
  </conditionalFormatting>
  <conditionalFormatting sqref="AF80:AF119 AZ80 AJ80:AJ119 AO80:AO11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{6C2D3A21-B4FE-4E6F-9814-0B42C3C52438}</x14:id>
        </ext>
      </extLst>
    </cfRule>
  </conditionalFormatting>
  <dataValidations count="2">
    <dataValidation type="list" allowBlank="1" showInputMessage="1" showErrorMessage="1" sqref="C14:C53" xr:uid="{00000000-0002-0000-0000-000000000000}">
      <formula1>$AT$13:$AT$15</formula1>
    </dataValidation>
    <dataValidation type="list" allowBlank="1" showInputMessage="1" showErrorMessage="1" sqref="D14:AB53" xr:uid="{00000000-0002-0000-0000-000001000000}">
      <formula1>$AN$14:$AN$17</formula1>
    </dataValidation>
  </dataValidations>
  <pageMargins left="0.7" right="0.7" top="0.75" bottom="0.75" header="0.3" footer="0.3"/>
  <pageSetup paperSize="9" orientation="portrait" r:id="rId1"/>
  <ignoredErrors>
    <ignoredError sqref="D71:K7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4" name="Button 24">
              <controlPr locked="0" defaultSize="0" print="0" autoFill="0" autoPict="0" macro="[0]!Botón24_Haga_clic_en">
                <anchor moveWithCells="1" sizeWithCells="1">
                  <from>
                    <xdr:col>34</xdr:col>
                    <xdr:colOff>533400</xdr:colOff>
                    <xdr:row>6</xdr:row>
                    <xdr:rowOff>152400</xdr:rowOff>
                  </from>
                  <to>
                    <xdr:col>44</xdr:col>
                    <xdr:colOff>152400</xdr:colOff>
                    <xdr:row>12</xdr:row>
                    <xdr:rowOff>914400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FCB65D5-3E83-43D5-9586-E352B371B6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AG14:AG53</xm:sqref>
        </x14:conditionalFormatting>
        <x14:conditionalFormatting xmlns:xm="http://schemas.microsoft.com/office/excel/2006/main">
          <x14:cfRule type="dataBar" id="{DD21BF6F-B2E8-466F-8187-C816BFB2EC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AF80:AF119</xm:sqref>
        </x14:conditionalFormatting>
        <x14:conditionalFormatting xmlns:xm="http://schemas.microsoft.com/office/excel/2006/main">
          <x14:cfRule type="dataBar" id="{07E968ED-8E6C-4DC0-BD70-9E0E8D87CF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AJ80:AJ119</xm:sqref>
        </x14:conditionalFormatting>
        <x14:conditionalFormatting xmlns:xm="http://schemas.microsoft.com/office/excel/2006/main">
          <x14:cfRule type="dataBar" id="{9804ED05-B240-4740-8385-36D9322280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AN80:AN119</xm:sqref>
        </x14:conditionalFormatting>
        <x14:conditionalFormatting xmlns:xm="http://schemas.microsoft.com/office/excel/2006/main">
          <x14:cfRule type="dataBar" id="{EA1C2562-AE4D-4BA5-980D-7C138F3D19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AO80:AO119</xm:sqref>
        </x14:conditionalFormatting>
        <x14:conditionalFormatting xmlns:xm="http://schemas.microsoft.com/office/excel/2006/main">
          <x14:cfRule type="dataBar" id="{6C2D3A21-B4FE-4E6F-9814-0B42C3C524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AF80:AF119 AZ80 AJ80:AJ119 AO80:AO119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"/>
  <sheetViews>
    <sheetView topLeftCell="A4" zoomScale="25" zoomScaleNormal="25" workbookViewId="0">
      <selection activeCell="AW93" sqref="AW93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5:BA133"/>
  <sheetViews>
    <sheetView topLeftCell="H59" zoomScale="50" zoomScaleNormal="50" workbookViewId="0">
      <selection activeCell="W73" sqref="W73"/>
    </sheetView>
  </sheetViews>
  <sheetFormatPr baseColWidth="10" defaultColWidth="11.5546875" defaultRowHeight="14.4" x14ac:dyDescent="0.3"/>
  <cols>
    <col min="1" max="1" width="11.5546875" style="1"/>
    <col min="2" max="2" width="121.6640625" style="1" customWidth="1"/>
    <col min="3" max="3" width="43.44140625" style="1" customWidth="1"/>
    <col min="4" max="11" width="23.6640625" style="1" customWidth="1"/>
    <col min="12" max="13" width="23.109375" style="1" customWidth="1"/>
    <col min="14" max="28" width="25.5546875" style="1" customWidth="1"/>
    <col min="29" max="29" width="19.5546875" style="1" customWidth="1"/>
    <col min="30" max="30" width="20.88671875" style="1" customWidth="1"/>
    <col min="31" max="31" width="21.33203125" style="1" customWidth="1"/>
    <col min="32" max="36" width="11.5546875" style="1"/>
    <col min="37" max="37" width="11.5546875" style="1" customWidth="1"/>
    <col min="38" max="39" width="11.5546875" style="1"/>
    <col min="40" max="40" width="11.5546875" style="1" hidden="1" customWidth="1"/>
    <col min="41" max="42" width="11.5546875" style="1"/>
    <col min="43" max="43" width="0" style="1" hidden="1" customWidth="1"/>
    <col min="44" max="46" width="11.5546875" style="1"/>
    <col min="47" max="47" width="33.5546875" style="1" hidden="1" customWidth="1"/>
    <col min="48" max="48" width="11.5546875" style="1" hidden="1" customWidth="1"/>
    <col min="49" max="52" width="11.5546875" style="1"/>
    <col min="53" max="53" width="0" style="1" hidden="1" customWidth="1"/>
    <col min="54" max="16384" width="11.5546875" style="1"/>
  </cols>
  <sheetData>
    <row r="5" spans="1:53" hidden="1" x14ac:dyDescent="0.3"/>
    <row r="6" spans="1:53" ht="36.6" customHeight="1" x14ac:dyDescent="0.3">
      <c r="A6" s="306" t="s">
        <v>1</v>
      </c>
      <c r="B6" s="306"/>
      <c r="C6" s="306"/>
      <c r="D6" s="306"/>
      <c r="E6" s="306"/>
      <c r="F6" s="306"/>
      <c r="G6" s="306"/>
      <c r="H6" s="306"/>
      <c r="I6" s="306"/>
      <c r="J6" s="306"/>
      <c r="K6" s="233" t="s">
        <v>97</v>
      </c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"/>
      <c r="X6" s="291"/>
      <c r="Y6" s="291"/>
      <c r="Z6" s="291"/>
      <c r="AA6" s="291"/>
      <c r="AB6" s="291"/>
      <c r="AC6" s="291"/>
      <c r="AD6" s="291"/>
      <c r="AE6" s="291"/>
      <c r="AF6" s="3"/>
      <c r="AG6" s="3"/>
    </row>
    <row r="7" spans="1:53" x14ac:dyDescent="0.3">
      <c r="A7" s="4"/>
      <c r="B7" s="4"/>
      <c r="C7" s="4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6"/>
      <c r="Z7" s="7"/>
      <c r="AA7" s="7"/>
      <c r="AB7" s="6"/>
      <c r="AC7" s="6"/>
      <c r="AD7" s="5"/>
      <c r="AE7" s="5"/>
      <c r="AF7" s="5"/>
      <c r="AG7" s="5"/>
    </row>
    <row r="8" spans="1:53" ht="36.6" x14ac:dyDescent="0.7">
      <c r="A8" s="4"/>
      <c r="B8" s="63" t="s">
        <v>2</v>
      </c>
      <c r="C8" s="292"/>
      <c r="D8" s="292"/>
      <c r="E8" s="292"/>
      <c r="F8" s="292"/>
      <c r="G8" s="292"/>
      <c r="H8" s="292"/>
      <c r="I8" s="292"/>
      <c r="J8" s="292"/>
      <c r="K8" s="292"/>
      <c r="L8" s="8"/>
      <c r="M8" s="293" t="s">
        <v>3</v>
      </c>
      <c r="N8" s="294"/>
      <c r="O8" s="297"/>
      <c r="P8" s="298"/>
      <c r="Q8" s="3"/>
      <c r="R8" s="9"/>
      <c r="S8" s="245" t="s">
        <v>4</v>
      </c>
      <c r="T8" s="245"/>
      <c r="U8" s="245"/>
      <c r="V8" s="292"/>
      <c r="W8" s="292"/>
      <c r="X8" s="292"/>
      <c r="Z8" s="237" t="s">
        <v>5</v>
      </c>
      <c r="AA8" s="238"/>
      <c r="AB8" s="239"/>
      <c r="AC8" s="301">
        <f>COUNTIF(C14:C53,"PRESENTE")</f>
        <v>30</v>
      </c>
      <c r="AD8" s="301"/>
    </row>
    <row r="9" spans="1:53" ht="36.6" x14ac:dyDescent="0.7">
      <c r="A9" s="4"/>
      <c r="B9" s="63" t="s">
        <v>6</v>
      </c>
      <c r="C9" s="292"/>
      <c r="D9" s="292"/>
      <c r="E9" s="292"/>
      <c r="F9" s="292"/>
      <c r="G9" s="292"/>
      <c r="H9" s="292"/>
      <c r="I9" s="292"/>
      <c r="J9" s="292"/>
      <c r="K9" s="292"/>
      <c r="L9" s="8"/>
      <c r="M9" s="295"/>
      <c r="N9" s="296"/>
      <c r="O9" s="299"/>
      <c r="P9" s="300"/>
      <c r="Q9" s="3"/>
      <c r="R9" s="9"/>
      <c r="S9" s="245" t="s">
        <v>7</v>
      </c>
      <c r="T9" s="245"/>
      <c r="U9" s="245"/>
      <c r="V9" s="302"/>
      <c r="W9" s="292"/>
      <c r="X9" s="292"/>
      <c r="Z9" s="237" t="s">
        <v>8</v>
      </c>
      <c r="AA9" s="238"/>
      <c r="AB9" s="239"/>
      <c r="AC9" s="301">
        <f>COUNTIF(C14:C53,"AUSENTE")</f>
        <v>0</v>
      </c>
      <c r="AD9" s="301"/>
    </row>
    <row r="10" spans="1:53" ht="12" customHeight="1" thickBot="1" x14ac:dyDescent="0.35">
      <c r="A10" s="10"/>
      <c r="B10" s="11"/>
      <c r="C10" s="11"/>
      <c r="D10" s="282"/>
      <c r="E10" s="282"/>
      <c r="F10" s="282"/>
      <c r="G10" s="282"/>
      <c r="H10" s="282"/>
      <c r="I10" s="282"/>
      <c r="J10" s="282"/>
      <c r="K10" s="282"/>
      <c r="L10" s="282"/>
      <c r="M10" s="282"/>
      <c r="N10" s="282"/>
      <c r="O10" s="282"/>
      <c r="P10" s="282"/>
      <c r="Q10" s="282"/>
      <c r="R10" s="282"/>
      <c r="S10" s="282"/>
      <c r="T10" s="282"/>
      <c r="U10" s="282"/>
      <c r="V10" s="282"/>
      <c r="W10" s="282"/>
      <c r="X10" s="282"/>
      <c r="Y10" s="282"/>
      <c r="Z10" s="282"/>
      <c r="AA10" s="282"/>
      <c r="AB10" s="282"/>
      <c r="AC10" s="12"/>
      <c r="AD10" s="12"/>
      <c r="AE10" s="12"/>
      <c r="AF10" s="12"/>
      <c r="AG10" s="12"/>
    </row>
    <row r="11" spans="1:53" ht="129.6" customHeight="1" thickTop="1" thickBot="1" x14ac:dyDescent="0.35">
      <c r="A11" s="283" t="s">
        <v>90</v>
      </c>
      <c r="B11" s="283"/>
      <c r="C11" s="283"/>
      <c r="D11" s="284" t="s">
        <v>141</v>
      </c>
      <c r="E11" s="267"/>
      <c r="F11" s="267"/>
      <c r="G11" s="267"/>
      <c r="H11" s="267"/>
      <c r="I11" s="267"/>
      <c r="J11" s="267"/>
      <c r="K11" s="267"/>
      <c r="L11" s="267"/>
      <c r="M11" s="267"/>
      <c r="N11" s="268"/>
      <c r="O11" s="284" t="s">
        <v>145</v>
      </c>
      <c r="P11" s="267"/>
      <c r="Q11" s="267"/>
      <c r="R11" s="267"/>
      <c r="S11" s="267"/>
      <c r="T11" s="267"/>
      <c r="U11" s="267"/>
      <c r="V11" s="284" t="s">
        <v>142</v>
      </c>
      <c r="W11" s="267"/>
      <c r="X11" s="267"/>
      <c r="Y11" s="267"/>
      <c r="Z11" s="267"/>
      <c r="AA11" s="268"/>
      <c r="AB11" s="267" t="s">
        <v>143</v>
      </c>
      <c r="AC11" s="267"/>
      <c r="AD11" s="267"/>
      <c r="AE11" s="268"/>
      <c r="AF11" s="277" t="s">
        <v>11</v>
      </c>
      <c r="AG11" s="278"/>
      <c r="AH11" s="278"/>
      <c r="AI11" s="279"/>
    </row>
    <row r="12" spans="1:53" ht="138.6" customHeight="1" thickTop="1" thickBot="1" x14ac:dyDescent="0.35">
      <c r="A12" s="283"/>
      <c r="B12" s="283"/>
      <c r="C12" s="283"/>
      <c r="D12" s="285"/>
      <c r="E12" s="269"/>
      <c r="F12" s="269"/>
      <c r="G12" s="269"/>
      <c r="H12" s="269"/>
      <c r="I12" s="269"/>
      <c r="J12" s="269"/>
      <c r="K12" s="269"/>
      <c r="L12" s="269"/>
      <c r="M12" s="269"/>
      <c r="N12" s="286"/>
      <c r="O12" s="285"/>
      <c r="P12" s="269"/>
      <c r="Q12" s="269"/>
      <c r="R12" s="269"/>
      <c r="S12" s="269"/>
      <c r="T12" s="269"/>
      <c r="U12" s="269"/>
      <c r="V12" s="285"/>
      <c r="W12" s="269"/>
      <c r="X12" s="269"/>
      <c r="Y12" s="269"/>
      <c r="Z12" s="269"/>
      <c r="AA12" s="286"/>
      <c r="AB12" s="269"/>
      <c r="AC12" s="269"/>
      <c r="AD12" s="269"/>
      <c r="AE12" s="269"/>
      <c r="AF12" s="275" t="s">
        <v>98</v>
      </c>
      <c r="AG12" s="275" t="s">
        <v>99</v>
      </c>
      <c r="AH12" s="275" t="s">
        <v>100</v>
      </c>
      <c r="AI12" s="275" t="s">
        <v>58</v>
      </c>
    </row>
    <row r="13" spans="1:53" ht="70.2" customHeight="1" thickTop="1" thickBot="1" x14ac:dyDescent="0.65">
      <c r="A13" s="124" t="s">
        <v>12</v>
      </c>
      <c r="B13" s="125" t="s">
        <v>13</v>
      </c>
      <c r="C13" s="126" t="s">
        <v>50</v>
      </c>
      <c r="D13" s="127" t="s">
        <v>14</v>
      </c>
      <c r="E13" s="128" t="s">
        <v>15</v>
      </c>
      <c r="F13" s="128" t="s">
        <v>16</v>
      </c>
      <c r="G13" s="128" t="s">
        <v>17</v>
      </c>
      <c r="H13" s="128" t="s">
        <v>18</v>
      </c>
      <c r="I13" s="128" t="s">
        <v>19</v>
      </c>
      <c r="J13" s="128" t="s">
        <v>20</v>
      </c>
      <c r="K13" s="128" t="s">
        <v>21</v>
      </c>
      <c r="L13" s="128" t="s">
        <v>22</v>
      </c>
      <c r="M13" s="128" t="s">
        <v>23</v>
      </c>
      <c r="N13" s="129" t="s">
        <v>24</v>
      </c>
      <c r="O13" s="130" t="s">
        <v>25</v>
      </c>
      <c r="P13" s="128" t="s">
        <v>26</v>
      </c>
      <c r="Q13" s="128" t="s">
        <v>27</v>
      </c>
      <c r="R13" s="128" t="s">
        <v>28</v>
      </c>
      <c r="S13" s="128" t="s">
        <v>29</v>
      </c>
      <c r="T13" s="128" t="s">
        <v>30</v>
      </c>
      <c r="U13" s="129" t="s">
        <v>31</v>
      </c>
      <c r="V13" s="127" t="s">
        <v>32</v>
      </c>
      <c r="W13" s="128" t="s">
        <v>33</v>
      </c>
      <c r="X13" s="128" t="s">
        <v>34</v>
      </c>
      <c r="Y13" s="128" t="s">
        <v>35</v>
      </c>
      <c r="Z13" s="128" t="s">
        <v>36</v>
      </c>
      <c r="AA13" s="129" t="s">
        <v>37</v>
      </c>
      <c r="AB13" s="130" t="s">
        <v>38</v>
      </c>
      <c r="AC13" s="128" t="s">
        <v>91</v>
      </c>
      <c r="AD13" s="128" t="s">
        <v>92</v>
      </c>
      <c r="AE13" s="129" t="s">
        <v>93</v>
      </c>
      <c r="AF13" s="276"/>
      <c r="AG13" s="276"/>
      <c r="AH13" s="276"/>
      <c r="AI13" s="276"/>
      <c r="AV13" s="13" t="s">
        <v>0</v>
      </c>
    </row>
    <row r="14" spans="1:53" ht="34.200000000000003" customHeight="1" thickTop="1" x14ac:dyDescent="0.65">
      <c r="A14" s="51">
        <v>1</v>
      </c>
      <c r="B14" s="14" t="s">
        <v>146</v>
      </c>
      <c r="C14" s="67" t="s">
        <v>94</v>
      </c>
      <c r="D14" s="68" t="s">
        <v>53</v>
      </c>
      <c r="E14" s="69" t="s">
        <v>53</v>
      </c>
      <c r="F14" s="69" t="s">
        <v>53</v>
      </c>
      <c r="G14" s="69" t="s">
        <v>53</v>
      </c>
      <c r="H14" s="69" t="s">
        <v>53</v>
      </c>
      <c r="I14" s="69" t="s">
        <v>53</v>
      </c>
      <c r="J14" s="69" t="s">
        <v>54</v>
      </c>
      <c r="K14" s="69" t="s">
        <v>54</v>
      </c>
      <c r="L14" s="69" t="s">
        <v>96</v>
      </c>
      <c r="M14" s="69" t="s">
        <v>96</v>
      </c>
      <c r="N14" s="69" t="s">
        <v>53</v>
      </c>
      <c r="O14" s="68" t="s">
        <v>96</v>
      </c>
      <c r="P14" s="70" t="s">
        <v>53</v>
      </c>
      <c r="Q14" s="70" t="s">
        <v>53</v>
      </c>
      <c r="R14" s="70" t="s">
        <v>53</v>
      </c>
      <c r="S14" s="70" t="s">
        <v>96</v>
      </c>
      <c r="T14" s="70" t="s">
        <v>54</v>
      </c>
      <c r="U14" s="71" t="s">
        <v>96</v>
      </c>
      <c r="V14" s="68" t="s">
        <v>96</v>
      </c>
      <c r="W14" s="69" t="s">
        <v>54</v>
      </c>
      <c r="X14" s="69" t="s">
        <v>96</v>
      </c>
      <c r="Y14" s="69" t="s">
        <v>54</v>
      </c>
      <c r="Z14" s="69" t="s">
        <v>96</v>
      </c>
      <c r="AA14" s="71" t="s">
        <v>53</v>
      </c>
      <c r="AB14" s="68" t="s">
        <v>53</v>
      </c>
      <c r="AC14" s="72" t="s">
        <v>96</v>
      </c>
      <c r="AD14" s="69" t="s">
        <v>55</v>
      </c>
      <c r="AE14" s="71" t="s">
        <v>53</v>
      </c>
      <c r="AF14" s="58">
        <f>IF(C14="PRESENTE",COUNTIF(D14:AE14,"✔️"),"")</f>
        <v>13</v>
      </c>
      <c r="AG14" s="59">
        <f>IF(C14="PRESENTE",COUNTIF(D14:AE14,"⚫"),"")</f>
        <v>9</v>
      </c>
      <c r="AH14" s="59">
        <f>IF(C14="PRESENTE",COUNTIF(D14:AE14,"❌"),"")</f>
        <v>5</v>
      </c>
      <c r="AI14" s="60">
        <f>IF(C14="PRESENTE",COUNTIF(D14:AE14,"➖"),"")</f>
        <v>1</v>
      </c>
      <c r="AN14" s="15" t="s">
        <v>53</v>
      </c>
      <c r="AU14" s="49" t="s">
        <v>94</v>
      </c>
      <c r="AV14" s="49"/>
      <c r="AW14" s="49"/>
      <c r="BA14" s="37" t="s">
        <v>53</v>
      </c>
    </row>
    <row r="15" spans="1:53" ht="33.6" customHeight="1" thickBot="1" x14ac:dyDescent="0.7">
      <c r="A15" s="131">
        <v>2</v>
      </c>
      <c r="B15" s="16" t="s">
        <v>147</v>
      </c>
      <c r="C15" s="74" t="s">
        <v>94</v>
      </c>
      <c r="D15" s="75" t="s">
        <v>54</v>
      </c>
      <c r="E15" s="76" t="s">
        <v>53</v>
      </c>
      <c r="F15" s="76" t="s">
        <v>54</v>
      </c>
      <c r="G15" s="76" t="s">
        <v>53</v>
      </c>
      <c r="H15" s="76" t="s">
        <v>53</v>
      </c>
      <c r="I15" s="76" t="s">
        <v>54</v>
      </c>
      <c r="J15" s="76" t="s">
        <v>53</v>
      </c>
      <c r="K15" s="76" t="s">
        <v>96</v>
      </c>
      <c r="L15" s="76" t="s">
        <v>53</v>
      </c>
      <c r="M15" s="76" t="s">
        <v>53</v>
      </c>
      <c r="N15" s="76" t="s">
        <v>54</v>
      </c>
      <c r="O15" s="77" t="s">
        <v>55</v>
      </c>
      <c r="P15" s="76" t="s">
        <v>53</v>
      </c>
      <c r="Q15" s="76" t="s">
        <v>53</v>
      </c>
      <c r="R15" s="76" t="s">
        <v>53</v>
      </c>
      <c r="S15" s="76" t="s">
        <v>53</v>
      </c>
      <c r="T15" s="76" t="s">
        <v>53</v>
      </c>
      <c r="U15" s="78" t="s">
        <v>53</v>
      </c>
      <c r="V15" s="75" t="s">
        <v>53</v>
      </c>
      <c r="W15" s="76" t="s">
        <v>53</v>
      </c>
      <c r="X15" s="76" t="s">
        <v>54</v>
      </c>
      <c r="Y15" s="76" t="s">
        <v>54</v>
      </c>
      <c r="Z15" s="76" t="s">
        <v>54</v>
      </c>
      <c r="AA15" s="79" t="s">
        <v>96</v>
      </c>
      <c r="AB15" s="75" t="s">
        <v>53</v>
      </c>
      <c r="AC15" s="80" t="s">
        <v>53</v>
      </c>
      <c r="AD15" s="76" t="s">
        <v>53</v>
      </c>
      <c r="AE15" s="79" t="s">
        <v>96</v>
      </c>
      <c r="AF15" s="118">
        <f>IF(C15="PRESENTE",COUNTIF(D15:AE15,"✔️"),"")</f>
        <v>17</v>
      </c>
      <c r="AG15" s="118">
        <f>IF(C15="PRESENTE",COUNTIF(D15:AE15,"⚫"),"")</f>
        <v>3</v>
      </c>
      <c r="AH15" s="119">
        <f>IF(C15="PRESENTE",COUNTIF(D15:AE15,"❌"),"")</f>
        <v>7</v>
      </c>
      <c r="AI15" s="120">
        <f>IF(C15="PRESENTE",COUNTIF(D15:AE15,"➖"),"")</f>
        <v>1</v>
      </c>
      <c r="AN15" s="15" t="s">
        <v>54</v>
      </c>
      <c r="AU15" s="49" t="s">
        <v>95</v>
      </c>
      <c r="AV15" s="49"/>
      <c r="AW15" s="49"/>
      <c r="BA15" s="37" t="s">
        <v>96</v>
      </c>
    </row>
    <row r="16" spans="1:53" ht="34.200000000000003" thickTop="1" x14ac:dyDescent="0.65">
      <c r="A16" s="52">
        <v>3</v>
      </c>
      <c r="B16" s="14" t="s">
        <v>148</v>
      </c>
      <c r="C16" s="67" t="s">
        <v>94</v>
      </c>
      <c r="D16" s="81" t="s">
        <v>53</v>
      </c>
      <c r="E16" s="82" t="s">
        <v>53</v>
      </c>
      <c r="F16" s="82" t="s">
        <v>53</v>
      </c>
      <c r="G16" s="82" t="s">
        <v>53</v>
      </c>
      <c r="H16" s="82" t="s">
        <v>53</v>
      </c>
      <c r="I16" s="82" t="s">
        <v>53</v>
      </c>
      <c r="J16" s="82" t="s">
        <v>96</v>
      </c>
      <c r="K16" s="82" t="s">
        <v>53</v>
      </c>
      <c r="L16" s="82" t="s">
        <v>53</v>
      </c>
      <c r="M16" s="82" t="s">
        <v>53</v>
      </c>
      <c r="N16" s="82" t="s">
        <v>54</v>
      </c>
      <c r="O16" s="68" t="s">
        <v>53</v>
      </c>
      <c r="P16" s="69" t="s">
        <v>53</v>
      </c>
      <c r="Q16" s="69" t="s">
        <v>53</v>
      </c>
      <c r="R16" s="69" t="s">
        <v>53</v>
      </c>
      <c r="S16" s="69" t="s">
        <v>53</v>
      </c>
      <c r="T16" s="69" t="s">
        <v>53</v>
      </c>
      <c r="U16" s="69" t="s">
        <v>54</v>
      </c>
      <c r="V16" s="68" t="s">
        <v>96</v>
      </c>
      <c r="W16" s="70" t="s">
        <v>54</v>
      </c>
      <c r="X16" s="70" t="s">
        <v>53</v>
      </c>
      <c r="Y16" s="70" t="s">
        <v>53</v>
      </c>
      <c r="Z16" s="70" t="s">
        <v>96</v>
      </c>
      <c r="AA16" s="70" t="s">
        <v>54</v>
      </c>
      <c r="AB16" s="68" t="s">
        <v>96</v>
      </c>
      <c r="AC16" s="69" t="s">
        <v>53</v>
      </c>
      <c r="AD16" s="69" t="s">
        <v>96</v>
      </c>
      <c r="AE16" s="69" t="s">
        <v>53</v>
      </c>
      <c r="AF16" s="44">
        <f t="shared" ref="AF16:AF53" si="0">IF(C16="PRESENTE",COUNTIF(D16:AE16,"✔️"),"")</f>
        <v>19</v>
      </c>
      <c r="AG16" s="31">
        <f t="shared" ref="AG16:AG53" si="1">IF(C16="PRESENTE",COUNTIF(D16:AE16,"⚫"),"")</f>
        <v>5</v>
      </c>
      <c r="AH16" s="31">
        <f t="shared" ref="AH16:AH53" si="2">IF(C16="PRESENTE",COUNTIF(D16:AE16,"❌"),"")</f>
        <v>4</v>
      </c>
      <c r="AI16" s="62">
        <f t="shared" ref="AI16:AI53" si="3">IF(C16="PRESENTE",COUNTIF(D16:AE16,"➖"),"")</f>
        <v>0</v>
      </c>
      <c r="AN16" s="15" t="s">
        <v>55</v>
      </c>
      <c r="BA16" s="37" t="s">
        <v>54</v>
      </c>
    </row>
    <row r="17" spans="1:53" ht="34.200000000000003" thickBot="1" x14ac:dyDescent="0.7">
      <c r="A17" s="131">
        <v>4</v>
      </c>
      <c r="B17" s="16" t="s">
        <v>149</v>
      </c>
      <c r="C17" s="74" t="s">
        <v>94</v>
      </c>
      <c r="D17" s="75" t="s">
        <v>96</v>
      </c>
      <c r="E17" s="76" t="s">
        <v>96</v>
      </c>
      <c r="F17" s="76" t="s">
        <v>53</v>
      </c>
      <c r="G17" s="76" t="s">
        <v>53</v>
      </c>
      <c r="H17" s="76" t="s">
        <v>53</v>
      </c>
      <c r="I17" s="76" t="s">
        <v>96</v>
      </c>
      <c r="J17" s="76" t="s">
        <v>53</v>
      </c>
      <c r="K17" s="76" t="s">
        <v>54</v>
      </c>
      <c r="L17" s="76" t="s">
        <v>53</v>
      </c>
      <c r="M17" s="76" t="s">
        <v>53</v>
      </c>
      <c r="N17" s="76" t="s">
        <v>53</v>
      </c>
      <c r="O17" s="75" t="s">
        <v>54</v>
      </c>
      <c r="P17" s="76" t="s">
        <v>53</v>
      </c>
      <c r="Q17" s="76" t="s">
        <v>54</v>
      </c>
      <c r="R17" s="76" t="s">
        <v>53</v>
      </c>
      <c r="S17" s="76" t="s">
        <v>53</v>
      </c>
      <c r="T17" s="76" t="s">
        <v>54</v>
      </c>
      <c r="U17" s="76" t="s">
        <v>53</v>
      </c>
      <c r="V17" s="77" t="s">
        <v>55</v>
      </c>
      <c r="W17" s="76" t="s">
        <v>54</v>
      </c>
      <c r="X17" s="76" t="s">
        <v>53</v>
      </c>
      <c r="Y17" s="76" t="s">
        <v>53</v>
      </c>
      <c r="Z17" s="76" t="s">
        <v>53</v>
      </c>
      <c r="AA17" s="76" t="s">
        <v>53</v>
      </c>
      <c r="AB17" s="75" t="s">
        <v>53</v>
      </c>
      <c r="AC17" s="76" t="s">
        <v>53</v>
      </c>
      <c r="AD17" s="76" t="s">
        <v>96</v>
      </c>
      <c r="AE17" s="76" t="s">
        <v>96</v>
      </c>
      <c r="AF17" s="118">
        <f t="shared" si="0"/>
        <v>17</v>
      </c>
      <c r="AG17" s="118">
        <f t="shared" si="1"/>
        <v>5</v>
      </c>
      <c r="AH17" s="119">
        <f t="shared" si="2"/>
        <v>5</v>
      </c>
      <c r="AI17" s="120">
        <f t="shared" si="3"/>
        <v>1</v>
      </c>
      <c r="BA17" s="37" t="s">
        <v>55</v>
      </c>
    </row>
    <row r="18" spans="1:53" ht="34.200000000000003" thickTop="1" x14ac:dyDescent="0.65">
      <c r="A18" s="52">
        <v>5</v>
      </c>
      <c r="B18" s="14" t="s">
        <v>150</v>
      </c>
      <c r="C18" s="67" t="s">
        <v>94</v>
      </c>
      <c r="D18" s="81" t="s">
        <v>53</v>
      </c>
      <c r="E18" s="82" t="s">
        <v>53</v>
      </c>
      <c r="F18" s="82" t="s">
        <v>96</v>
      </c>
      <c r="G18" s="82" t="s">
        <v>54</v>
      </c>
      <c r="H18" s="82" t="s">
        <v>54</v>
      </c>
      <c r="I18" s="82" t="s">
        <v>53</v>
      </c>
      <c r="J18" s="82" t="s">
        <v>53</v>
      </c>
      <c r="K18" s="82" t="s">
        <v>96</v>
      </c>
      <c r="L18" s="82" t="s">
        <v>53</v>
      </c>
      <c r="M18" s="82" t="s">
        <v>53</v>
      </c>
      <c r="N18" s="82" t="s">
        <v>53</v>
      </c>
      <c r="O18" s="81" t="s">
        <v>53</v>
      </c>
      <c r="P18" s="82" t="s">
        <v>53</v>
      </c>
      <c r="Q18" s="82" t="s">
        <v>53</v>
      </c>
      <c r="R18" s="82" t="s">
        <v>53</v>
      </c>
      <c r="S18" s="82" t="s">
        <v>53</v>
      </c>
      <c r="T18" s="82" t="s">
        <v>53</v>
      </c>
      <c r="U18" s="82" t="s">
        <v>96</v>
      </c>
      <c r="V18" s="68" t="s">
        <v>53</v>
      </c>
      <c r="W18" s="69" t="s">
        <v>54</v>
      </c>
      <c r="X18" s="69" t="s">
        <v>53</v>
      </c>
      <c r="Y18" s="69" t="s">
        <v>54</v>
      </c>
      <c r="Z18" s="69" t="s">
        <v>54</v>
      </c>
      <c r="AA18" s="69" t="s">
        <v>53</v>
      </c>
      <c r="AB18" s="68" t="s">
        <v>96</v>
      </c>
      <c r="AC18" s="70" t="s">
        <v>53</v>
      </c>
      <c r="AD18" s="70" t="s">
        <v>53</v>
      </c>
      <c r="AE18" s="70" t="s">
        <v>53</v>
      </c>
      <c r="AF18" s="44">
        <f t="shared" si="0"/>
        <v>19</v>
      </c>
      <c r="AG18" s="31">
        <f t="shared" si="1"/>
        <v>4</v>
      </c>
      <c r="AH18" s="31">
        <f t="shared" si="2"/>
        <v>5</v>
      </c>
      <c r="AI18" s="62">
        <f t="shared" si="3"/>
        <v>0</v>
      </c>
    </row>
    <row r="19" spans="1:53" ht="34.200000000000003" thickBot="1" x14ac:dyDescent="0.7">
      <c r="A19" s="131">
        <v>6</v>
      </c>
      <c r="B19" s="16" t="s">
        <v>151</v>
      </c>
      <c r="C19" s="74" t="s">
        <v>94</v>
      </c>
      <c r="D19" s="75" t="s">
        <v>96</v>
      </c>
      <c r="E19" s="76" t="s">
        <v>96</v>
      </c>
      <c r="F19" s="76" t="s">
        <v>53</v>
      </c>
      <c r="G19" s="76" t="s">
        <v>53</v>
      </c>
      <c r="H19" s="76" t="s">
        <v>53</v>
      </c>
      <c r="I19" s="76" t="s">
        <v>53</v>
      </c>
      <c r="J19" s="76" t="s">
        <v>96</v>
      </c>
      <c r="K19" s="76" t="s">
        <v>53</v>
      </c>
      <c r="L19" s="76" t="s">
        <v>53</v>
      </c>
      <c r="M19" s="76" t="s">
        <v>53</v>
      </c>
      <c r="N19" s="76" t="s">
        <v>53</v>
      </c>
      <c r="O19" s="75" t="s">
        <v>96</v>
      </c>
      <c r="P19" s="76" t="s">
        <v>96</v>
      </c>
      <c r="Q19" s="76" t="s">
        <v>53</v>
      </c>
      <c r="R19" s="76" t="s">
        <v>53</v>
      </c>
      <c r="S19" s="76" t="s">
        <v>53</v>
      </c>
      <c r="T19" s="76" t="s">
        <v>96</v>
      </c>
      <c r="U19" s="76" t="s">
        <v>53</v>
      </c>
      <c r="V19" s="75" t="s">
        <v>54</v>
      </c>
      <c r="W19" s="76" t="s">
        <v>54</v>
      </c>
      <c r="X19" s="76" t="s">
        <v>54</v>
      </c>
      <c r="Y19" s="76" t="s">
        <v>96</v>
      </c>
      <c r="Z19" s="76" t="s">
        <v>54</v>
      </c>
      <c r="AA19" s="76" t="s">
        <v>54</v>
      </c>
      <c r="AB19" s="77" t="s">
        <v>55</v>
      </c>
      <c r="AC19" s="76" t="s">
        <v>53</v>
      </c>
      <c r="AD19" s="76" t="s">
        <v>53</v>
      </c>
      <c r="AE19" s="76" t="s">
        <v>53</v>
      </c>
      <c r="AF19" s="118">
        <f t="shared" si="0"/>
        <v>15</v>
      </c>
      <c r="AG19" s="118">
        <f t="shared" si="1"/>
        <v>7</v>
      </c>
      <c r="AH19" s="119">
        <f t="shared" si="2"/>
        <v>5</v>
      </c>
      <c r="AI19" s="120">
        <f t="shared" si="3"/>
        <v>1</v>
      </c>
    </row>
    <row r="20" spans="1:53" ht="34.200000000000003" thickTop="1" x14ac:dyDescent="0.65">
      <c r="A20" s="52">
        <v>7</v>
      </c>
      <c r="B20" s="14" t="s">
        <v>152</v>
      </c>
      <c r="C20" s="67" t="s">
        <v>94</v>
      </c>
      <c r="D20" s="81" t="s">
        <v>54</v>
      </c>
      <c r="E20" s="82" t="s">
        <v>53</v>
      </c>
      <c r="F20" s="82" t="s">
        <v>53</v>
      </c>
      <c r="G20" s="82" t="s">
        <v>53</v>
      </c>
      <c r="H20" s="82" t="s">
        <v>96</v>
      </c>
      <c r="I20" s="82" t="s">
        <v>54</v>
      </c>
      <c r="J20" s="82" t="s">
        <v>54</v>
      </c>
      <c r="K20" s="82" t="s">
        <v>96</v>
      </c>
      <c r="L20" s="82" t="s">
        <v>96</v>
      </c>
      <c r="M20" s="82" t="s">
        <v>96</v>
      </c>
      <c r="N20" s="82" t="s">
        <v>96</v>
      </c>
      <c r="O20" s="81" t="s">
        <v>53</v>
      </c>
      <c r="P20" s="82" t="s">
        <v>53</v>
      </c>
      <c r="Q20" s="82" t="s">
        <v>96</v>
      </c>
      <c r="R20" s="82" t="s">
        <v>54</v>
      </c>
      <c r="S20" s="82" t="s">
        <v>54</v>
      </c>
      <c r="T20" s="82" t="s">
        <v>53</v>
      </c>
      <c r="U20" s="82" t="s">
        <v>53</v>
      </c>
      <c r="V20" s="81" t="s">
        <v>53</v>
      </c>
      <c r="W20" s="82" t="s">
        <v>54</v>
      </c>
      <c r="X20" s="82" t="s">
        <v>53</v>
      </c>
      <c r="Y20" s="82" t="s">
        <v>54</v>
      </c>
      <c r="Z20" s="82" t="s">
        <v>53</v>
      </c>
      <c r="AA20" s="82" t="s">
        <v>53</v>
      </c>
      <c r="AB20" s="68" t="s">
        <v>53</v>
      </c>
      <c r="AC20" s="69" t="s">
        <v>53</v>
      </c>
      <c r="AD20" s="69" t="s">
        <v>53</v>
      </c>
      <c r="AE20" s="69" t="s">
        <v>53</v>
      </c>
      <c r="AF20" s="44">
        <f t="shared" si="0"/>
        <v>15</v>
      </c>
      <c r="AG20" s="31">
        <f t="shared" si="1"/>
        <v>6</v>
      </c>
      <c r="AH20" s="31">
        <f t="shared" si="2"/>
        <v>7</v>
      </c>
      <c r="AI20" s="62">
        <f t="shared" si="3"/>
        <v>0</v>
      </c>
    </row>
    <row r="21" spans="1:53" ht="33.6" x14ac:dyDescent="0.65">
      <c r="A21" s="131">
        <v>8</v>
      </c>
      <c r="B21" s="16" t="s">
        <v>153</v>
      </c>
      <c r="C21" s="74" t="s">
        <v>94</v>
      </c>
      <c r="D21" s="75" t="s">
        <v>53</v>
      </c>
      <c r="E21" s="76" t="s">
        <v>96</v>
      </c>
      <c r="F21" s="76" t="s">
        <v>54</v>
      </c>
      <c r="G21" s="76" t="s">
        <v>96</v>
      </c>
      <c r="H21" s="76" t="s">
        <v>96</v>
      </c>
      <c r="I21" s="76" t="s">
        <v>53</v>
      </c>
      <c r="J21" s="76" t="s">
        <v>96</v>
      </c>
      <c r="K21" s="76" t="s">
        <v>54</v>
      </c>
      <c r="L21" s="76" t="s">
        <v>53</v>
      </c>
      <c r="M21" s="76" t="s">
        <v>53</v>
      </c>
      <c r="N21" s="76" t="s">
        <v>96</v>
      </c>
      <c r="O21" s="75" t="s">
        <v>96</v>
      </c>
      <c r="P21" s="76" t="s">
        <v>96</v>
      </c>
      <c r="Q21" s="76" t="s">
        <v>53</v>
      </c>
      <c r="R21" s="76" t="s">
        <v>53</v>
      </c>
      <c r="S21" s="76" t="s">
        <v>53</v>
      </c>
      <c r="T21" s="76" t="s">
        <v>53</v>
      </c>
      <c r="U21" s="76" t="s">
        <v>96</v>
      </c>
      <c r="V21" s="75" t="s">
        <v>96</v>
      </c>
      <c r="W21" s="76" t="s">
        <v>96</v>
      </c>
      <c r="X21" s="76" t="s">
        <v>53</v>
      </c>
      <c r="Y21" s="76" t="s">
        <v>53</v>
      </c>
      <c r="Z21" s="76" t="s">
        <v>54</v>
      </c>
      <c r="AA21" s="76" t="s">
        <v>96</v>
      </c>
      <c r="AB21" s="75" t="s">
        <v>96</v>
      </c>
      <c r="AC21" s="76" t="s">
        <v>53</v>
      </c>
      <c r="AD21" s="76" t="s">
        <v>96</v>
      </c>
      <c r="AE21" s="76" t="s">
        <v>53</v>
      </c>
      <c r="AF21" s="118">
        <f t="shared" si="0"/>
        <v>12</v>
      </c>
      <c r="AG21" s="118">
        <f t="shared" si="1"/>
        <v>13</v>
      </c>
      <c r="AH21" s="119">
        <f t="shared" si="2"/>
        <v>3</v>
      </c>
      <c r="AI21" s="120">
        <f t="shared" si="3"/>
        <v>0</v>
      </c>
    </row>
    <row r="22" spans="1:53" ht="33.6" x14ac:dyDescent="0.65">
      <c r="A22" s="52">
        <v>9</v>
      </c>
      <c r="B22" s="14" t="s">
        <v>154</v>
      </c>
      <c r="C22" s="67" t="s">
        <v>94</v>
      </c>
      <c r="D22" s="81" t="s">
        <v>53</v>
      </c>
      <c r="E22" s="82" t="s">
        <v>53</v>
      </c>
      <c r="F22" s="82" t="s">
        <v>55</v>
      </c>
      <c r="G22" s="82" t="s">
        <v>96</v>
      </c>
      <c r="H22" s="82" t="s">
        <v>53</v>
      </c>
      <c r="I22" s="82" t="s">
        <v>96</v>
      </c>
      <c r="J22" s="82" t="s">
        <v>53</v>
      </c>
      <c r="K22" s="82" t="s">
        <v>53</v>
      </c>
      <c r="L22" s="82" t="s">
        <v>53</v>
      </c>
      <c r="M22" s="82" t="s">
        <v>96</v>
      </c>
      <c r="N22" s="82" t="s">
        <v>53</v>
      </c>
      <c r="O22" s="81" t="s">
        <v>54</v>
      </c>
      <c r="P22" s="82" t="s">
        <v>53</v>
      </c>
      <c r="Q22" s="82" t="s">
        <v>53</v>
      </c>
      <c r="R22" s="82" t="s">
        <v>53</v>
      </c>
      <c r="S22" s="82" t="s">
        <v>96</v>
      </c>
      <c r="T22" s="82" t="s">
        <v>54</v>
      </c>
      <c r="U22" s="82" t="s">
        <v>54</v>
      </c>
      <c r="V22" s="81" t="s">
        <v>53</v>
      </c>
      <c r="W22" s="82" t="s">
        <v>54</v>
      </c>
      <c r="X22" s="82" t="s">
        <v>96</v>
      </c>
      <c r="Y22" s="82" t="s">
        <v>54</v>
      </c>
      <c r="Z22" s="82" t="s">
        <v>54</v>
      </c>
      <c r="AA22" s="82" t="s">
        <v>53</v>
      </c>
      <c r="AB22" s="81" t="s">
        <v>53</v>
      </c>
      <c r="AC22" s="82" t="s">
        <v>53</v>
      </c>
      <c r="AD22" s="82" t="s">
        <v>53</v>
      </c>
      <c r="AE22" s="82" t="s">
        <v>53</v>
      </c>
      <c r="AF22" s="44">
        <f t="shared" si="0"/>
        <v>16</v>
      </c>
      <c r="AG22" s="31">
        <f t="shared" si="1"/>
        <v>5</v>
      </c>
      <c r="AH22" s="31">
        <f t="shared" si="2"/>
        <v>6</v>
      </c>
      <c r="AI22" s="62">
        <f t="shared" si="3"/>
        <v>1</v>
      </c>
    </row>
    <row r="23" spans="1:53" ht="33.6" x14ac:dyDescent="0.65">
      <c r="A23" s="131">
        <v>10</v>
      </c>
      <c r="B23" s="16" t="s">
        <v>155</v>
      </c>
      <c r="C23" s="74" t="s">
        <v>94</v>
      </c>
      <c r="D23" s="75" t="s">
        <v>53</v>
      </c>
      <c r="E23" s="76" t="s">
        <v>53</v>
      </c>
      <c r="F23" s="76" t="s">
        <v>96</v>
      </c>
      <c r="G23" s="76" t="s">
        <v>53</v>
      </c>
      <c r="H23" s="76" t="s">
        <v>53</v>
      </c>
      <c r="I23" s="76" t="s">
        <v>96</v>
      </c>
      <c r="J23" s="76" t="s">
        <v>53</v>
      </c>
      <c r="K23" s="76" t="s">
        <v>53</v>
      </c>
      <c r="L23" s="76" t="s">
        <v>53</v>
      </c>
      <c r="M23" s="76" t="s">
        <v>96</v>
      </c>
      <c r="N23" s="76" t="s">
        <v>54</v>
      </c>
      <c r="O23" s="77" t="s">
        <v>54</v>
      </c>
      <c r="P23" s="76" t="s">
        <v>53</v>
      </c>
      <c r="Q23" s="76" t="s">
        <v>54</v>
      </c>
      <c r="R23" s="76" t="s">
        <v>53</v>
      </c>
      <c r="S23" s="76" t="s">
        <v>96</v>
      </c>
      <c r="T23" s="76" t="s">
        <v>53</v>
      </c>
      <c r="U23" s="78" t="s">
        <v>55</v>
      </c>
      <c r="V23" s="75" t="s">
        <v>96</v>
      </c>
      <c r="W23" s="76" t="s">
        <v>96</v>
      </c>
      <c r="X23" s="76" t="s">
        <v>53</v>
      </c>
      <c r="Y23" s="76" t="s">
        <v>53</v>
      </c>
      <c r="Z23" s="76" t="s">
        <v>53</v>
      </c>
      <c r="AA23" s="76" t="s">
        <v>53</v>
      </c>
      <c r="AB23" s="75" t="s">
        <v>96</v>
      </c>
      <c r="AC23" s="76" t="s">
        <v>96</v>
      </c>
      <c r="AD23" s="76" t="s">
        <v>53</v>
      </c>
      <c r="AE23" s="76" t="s">
        <v>53</v>
      </c>
      <c r="AF23" s="118">
        <f t="shared" si="0"/>
        <v>16</v>
      </c>
      <c r="AG23" s="118">
        <f t="shared" si="1"/>
        <v>8</v>
      </c>
      <c r="AH23" s="119">
        <f t="shared" si="2"/>
        <v>3</v>
      </c>
      <c r="AI23" s="120">
        <f t="shared" si="3"/>
        <v>1</v>
      </c>
    </row>
    <row r="24" spans="1:53" ht="33.6" x14ac:dyDescent="0.65">
      <c r="A24" s="52">
        <v>11</v>
      </c>
      <c r="B24" s="14" t="s">
        <v>156</v>
      </c>
      <c r="C24" s="67" t="s">
        <v>94</v>
      </c>
      <c r="D24" s="81" t="s">
        <v>53</v>
      </c>
      <c r="E24" s="82" t="s">
        <v>53</v>
      </c>
      <c r="F24" s="82" t="s">
        <v>96</v>
      </c>
      <c r="G24" s="82" t="s">
        <v>96</v>
      </c>
      <c r="H24" s="82" t="s">
        <v>53</v>
      </c>
      <c r="I24" s="82" t="s">
        <v>96</v>
      </c>
      <c r="J24" s="82" t="s">
        <v>53</v>
      </c>
      <c r="K24" s="82" t="s">
        <v>96</v>
      </c>
      <c r="L24" s="82" t="s">
        <v>53</v>
      </c>
      <c r="M24" s="82" t="s">
        <v>53</v>
      </c>
      <c r="N24" s="82" t="s">
        <v>53</v>
      </c>
      <c r="O24" s="83" t="s">
        <v>55</v>
      </c>
      <c r="P24" s="82" t="s">
        <v>53</v>
      </c>
      <c r="Q24" s="82" t="s">
        <v>54</v>
      </c>
      <c r="R24" s="82" t="s">
        <v>96</v>
      </c>
      <c r="S24" s="82" t="s">
        <v>96</v>
      </c>
      <c r="T24" s="82" t="s">
        <v>53</v>
      </c>
      <c r="U24" s="84" t="s">
        <v>53</v>
      </c>
      <c r="V24" s="81" t="s">
        <v>54</v>
      </c>
      <c r="W24" s="82" t="s">
        <v>54</v>
      </c>
      <c r="X24" s="82" t="s">
        <v>53</v>
      </c>
      <c r="Y24" s="82" t="s">
        <v>53</v>
      </c>
      <c r="Z24" s="82" t="s">
        <v>96</v>
      </c>
      <c r="AA24" s="82" t="s">
        <v>54</v>
      </c>
      <c r="AB24" s="81" t="s">
        <v>53</v>
      </c>
      <c r="AC24" s="82" t="s">
        <v>53</v>
      </c>
      <c r="AD24" s="82" t="s">
        <v>96</v>
      </c>
      <c r="AE24" s="82" t="s">
        <v>96</v>
      </c>
      <c r="AF24" s="44">
        <f t="shared" si="0"/>
        <v>14</v>
      </c>
      <c r="AG24" s="31">
        <f t="shared" si="1"/>
        <v>9</v>
      </c>
      <c r="AH24" s="31">
        <f t="shared" si="2"/>
        <v>4</v>
      </c>
      <c r="AI24" s="62">
        <f t="shared" si="3"/>
        <v>1</v>
      </c>
    </row>
    <row r="25" spans="1:53" ht="33.6" x14ac:dyDescent="0.65">
      <c r="A25" s="131">
        <v>12</v>
      </c>
      <c r="B25" s="16" t="s">
        <v>157</v>
      </c>
      <c r="C25" s="74" t="s">
        <v>94</v>
      </c>
      <c r="D25" s="75" t="s">
        <v>53</v>
      </c>
      <c r="E25" s="76" t="s">
        <v>96</v>
      </c>
      <c r="F25" s="76" t="s">
        <v>53</v>
      </c>
      <c r="G25" s="76" t="s">
        <v>55</v>
      </c>
      <c r="H25" s="76" t="s">
        <v>53</v>
      </c>
      <c r="I25" s="76" t="s">
        <v>53</v>
      </c>
      <c r="J25" s="76" t="s">
        <v>53</v>
      </c>
      <c r="K25" s="76" t="s">
        <v>96</v>
      </c>
      <c r="L25" s="76" t="s">
        <v>54</v>
      </c>
      <c r="M25" s="76" t="s">
        <v>54</v>
      </c>
      <c r="N25" s="76" t="s">
        <v>55</v>
      </c>
      <c r="O25" s="77" t="s">
        <v>53</v>
      </c>
      <c r="P25" s="76" t="s">
        <v>96</v>
      </c>
      <c r="Q25" s="76" t="s">
        <v>53</v>
      </c>
      <c r="R25" s="76" t="s">
        <v>54</v>
      </c>
      <c r="S25" s="76" t="s">
        <v>53</v>
      </c>
      <c r="T25" s="76" t="s">
        <v>53</v>
      </c>
      <c r="U25" s="78" t="s">
        <v>54</v>
      </c>
      <c r="V25" s="75" t="s">
        <v>53</v>
      </c>
      <c r="W25" s="76" t="s">
        <v>54</v>
      </c>
      <c r="X25" s="76" t="s">
        <v>53</v>
      </c>
      <c r="Y25" s="76" t="s">
        <v>54</v>
      </c>
      <c r="Z25" s="76" t="s">
        <v>53</v>
      </c>
      <c r="AA25" s="79" t="s">
        <v>53</v>
      </c>
      <c r="AB25" s="75" t="s">
        <v>96</v>
      </c>
      <c r="AC25" s="76" t="s">
        <v>53</v>
      </c>
      <c r="AD25" s="76" t="s">
        <v>53</v>
      </c>
      <c r="AE25" s="76" t="s">
        <v>53</v>
      </c>
      <c r="AF25" s="118">
        <f t="shared" si="0"/>
        <v>16</v>
      </c>
      <c r="AG25" s="118">
        <f t="shared" si="1"/>
        <v>4</v>
      </c>
      <c r="AH25" s="119">
        <f t="shared" si="2"/>
        <v>6</v>
      </c>
      <c r="AI25" s="120">
        <f t="shared" si="3"/>
        <v>2</v>
      </c>
    </row>
    <row r="26" spans="1:53" ht="33.6" x14ac:dyDescent="0.65">
      <c r="A26" s="52">
        <v>13</v>
      </c>
      <c r="B26" s="14" t="s">
        <v>158</v>
      </c>
      <c r="C26" s="67" t="s">
        <v>94</v>
      </c>
      <c r="D26" s="81" t="s">
        <v>53</v>
      </c>
      <c r="E26" s="82" t="s">
        <v>53</v>
      </c>
      <c r="F26" s="82" t="s">
        <v>53</v>
      </c>
      <c r="G26" s="82" t="s">
        <v>53</v>
      </c>
      <c r="H26" s="82" t="s">
        <v>53</v>
      </c>
      <c r="I26" s="82" t="s">
        <v>53</v>
      </c>
      <c r="J26" s="82" t="s">
        <v>96</v>
      </c>
      <c r="K26" s="82" t="s">
        <v>53</v>
      </c>
      <c r="L26" s="82" t="s">
        <v>53</v>
      </c>
      <c r="M26" s="82" t="s">
        <v>96</v>
      </c>
      <c r="N26" s="82" t="s">
        <v>53</v>
      </c>
      <c r="O26" s="82" t="s">
        <v>53</v>
      </c>
      <c r="P26" s="82" t="s">
        <v>53</v>
      </c>
      <c r="Q26" s="82" t="s">
        <v>96</v>
      </c>
      <c r="R26" s="82" t="s">
        <v>53</v>
      </c>
      <c r="S26" s="82" t="s">
        <v>53</v>
      </c>
      <c r="T26" s="82" t="s">
        <v>96</v>
      </c>
      <c r="U26" s="82" t="s">
        <v>53</v>
      </c>
      <c r="V26" s="81" t="s">
        <v>96</v>
      </c>
      <c r="W26" s="82" t="s">
        <v>53</v>
      </c>
      <c r="X26" s="82" t="s">
        <v>53</v>
      </c>
      <c r="Y26" s="82" t="s">
        <v>53</v>
      </c>
      <c r="Z26" s="82" t="s">
        <v>54</v>
      </c>
      <c r="AA26" s="85" t="s">
        <v>53</v>
      </c>
      <c r="AB26" s="82" t="s">
        <v>96</v>
      </c>
      <c r="AC26" s="82" t="s">
        <v>53</v>
      </c>
      <c r="AD26" s="82" t="s">
        <v>53</v>
      </c>
      <c r="AE26" s="82" t="s">
        <v>53</v>
      </c>
      <c r="AF26" s="44">
        <f t="shared" si="0"/>
        <v>21</v>
      </c>
      <c r="AG26" s="31">
        <f t="shared" si="1"/>
        <v>6</v>
      </c>
      <c r="AH26" s="31">
        <f t="shared" si="2"/>
        <v>1</v>
      </c>
      <c r="AI26" s="62">
        <f t="shared" si="3"/>
        <v>0</v>
      </c>
    </row>
    <row r="27" spans="1:53" ht="33.6" x14ac:dyDescent="0.65">
      <c r="A27" s="131">
        <v>14</v>
      </c>
      <c r="B27" s="16" t="s">
        <v>159</v>
      </c>
      <c r="C27" s="74" t="s">
        <v>94</v>
      </c>
      <c r="D27" s="75" t="s">
        <v>96</v>
      </c>
      <c r="E27" s="76" t="s">
        <v>96</v>
      </c>
      <c r="F27" s="76" t="s">
        <v>53</v>
      </c>
      <c r="G27" s="76" t="s">
        <v>53</v>
      </c>
      <c r="H27" s="76" t="s">
        <v>53</v>
      </c>
      <c r="I27" s="76" t="s">
        <v>53</v>
      </c>
      <c r="J27" s="76" t="s">
        <v>53</v>
      </c>
      <c r="K27" s="76" t="s">
        <v>96</v>
      </c>
      <c r="L27" s="76" t="s">
        <v>54</v>
      </c>
      <c r="M27" s="76" t="s">
        <v>53</v>
      </c>
      <c r="N27" s="76" t="s">
        <v>53</v>
      </c>
      <c r="O27" s="76" t="s">
        <v>53</v>
      </c>
      <c r="P27" s="76" t="s">
        <v>53</v>
      </c>
      <c r="Q27" s="76" t="s">
        <v>53</v>
      </c>
      <c r="R27" s="76" t="s">
        <v>96</v>
      </c>
      <c r="S27" s="76" t="s">
        <v>54</v>
      </c>
      <c r="T27" s="76" t="s">
        <v>53</v>
      </c>
      <c r="U27" s="76" t="s">
        <v>53</v>
      </c>
      <c r="V27" s="75" t="s">
        <v>96</v>
      </c>
      <c r="W27" s="76" t="s">
        <v>96</v>
      </c>
      <c r="X27" s="76" t="s">
        <v>53</v>
      </c>
      <c r="Y27" s="76" t="s">
        <v>54</v>
      </c>
      <c r="Z27" s="76" t="s">
        <v>53</v>
      </c>
      <c r="AA27" s="76" t="s">
        <v>53</v>
      </c>
      <c r="AB27" s="76" t="s">
        <v>53</v>
      </c>
      <c r="AC27" s="76" t="s">
        <v>53</v>
      </c>
      <c r="AD27" s="76" t="s">
        <v>53</v>
      </c>
      <c r="AE27" s="76" t="s">
        <v>53</v>
      </c>
      <c r="AF27" s="118">
        <f t="shared" si="0"/>
        <v>19</v>
      </c>
      <c r="AG27" s="118">
        <f t="shared" si="1"/>
        <v>6</v>
      </c>
      <c r="AH27" s="119">
        <f t="shared" si="2"/>
        <v>3</v>
      </c>
      <c r="AI27" s="120">
        <f t="shared" si="3"/>
        <v>0</v>
      </c>
    </row>
    <row r="28" spans="1:53" ht="33.6" x14ac:dyDescent="0.65">
      <c r="A28" s="52">
        <v>15</v>
      </c>
      <c r="B28" s="14" t="s">
        <v>160</v>
      </c>
      <c r="C28" s="67" t="s">
        <v>94</v>
      </c>
      <c r="D28" s="81" t="s">
        <v>54</v>
      </c>
      <c r="E28" s="82" t="s">
        <v>53</v>
      </c>
      <c r="F28" s="82" t="s">
        <v>53</v>
      </c>
      <c r="G28" s="82" t="s">
        <v>53</v>
      </c>
      <c r="H28" s="82" t="s">
        <v>96</v>
      </c>
      <c r="I28" s="82" t="s">
        <v>53</v>
      </c>
      <c r="J28" s="82" t="s">
        <v>53</v>
      </c>
      <c r="K28" s="82" t="s">
        <v>96</v>
      </c>
      <c r="L28" s="82" t="s">
        <v>96</v>
      </c>
      <c r="M28" s="82" t="s">
        <v>53</v>
      </c>
      <c r="N28" s="82" t="s">
        <v>96</v>
      </c>
      <c r="O28" s="82" t="s">
        <v>96</v>
      </c>
      <c r="P28" s="82" t="s">
        <v>53</v>
      </c>
      <c r="Q28" s="82" t="s">
        <v>53</v>
      </c>
      <c r="R28" s="82" t="s">
        <v>96</v>
      </c>
      <c r="S28" s="82" t="s">
        <v>96</v>
      </c>
      <c r="T28" s="82" t="s">
        <v>53</v>
      </c>
      <c r="U28" s="82" t="s">
        <v>96</v>
      </c>
      <c r="V28" s="81" t="s">
        <v>54</v>
      </c>
      <c r="W28" s="82" t="s">
        <v>54</v>
      </c>
      <c r="X28" s="82" t="s">
        <v>53</v>
      </c>
      <c r="Y28" s="82" t="s">
        <v>53</v>
      </c>
      <c r="Z28" s="82" t="s">
        <v>96</v>
      </c>
      <c r="AA28" s="82" t="s">
        <v>53</v>
      </c>
      <c r="AB28" s="82" t="s">
        <v>53</v>
      </c>
      <c r="AC28" s="82" t="s">
        <v>96</v>
      </c>
      <c r="AD28" s="82" t="s">
        <v>53</v>
      </c>
      <c r="AE28" s="82" t="s">
        <v>53</v>
      </c>
      <c r="AF28" s="44">
        <f t="shared" si="0"/>
        <v>15</v>
      </c>
      <c r="AG28" s="31">
        <f t="shared" si="1"/>
        <v>10</v>
      </c>
      <c r="AH28" s="31">
        <f t="shared" si="2"/>
        <v>3</v>
      </c>
      <c r="AI28" s="62">
        <f t="shared" si="3"/>
        <v>0</v>
      </c>
    </row>
    <row r="29" spans="1:53" ht="33.6" x14ac:dyDescent="0.65">
      <c r="A29" s="131">
        <v>16</v>
      </c>
      <c r="B29" s="16" t="s">
        <v>161</v>
      </c>
      <c r="C29" s="74" t="s">
        <v>94</v>
      </c>
      <c r="D29" s="75" t="s">
        <v>53</v>
      </c>
      <c r="E29" s="76" t="s">
        <v>96</v>
      </c>
      <c r="F29" s="76" t="s">
        <v>96</v>
      </c>
      <c r="G29" s="76" t="s">
        <v>54</v>
      </c>
      <c r="H29" s="76" t="s">
        <v>53</v>
      </c>
      <c r="I29" s="76" t="s">
        <v>96</v>
      </c>
      <c r="J29" s="76" t="s">
        <v>96</v>
      </c>
      <c r="K29" s="76" t="s">
        <v>53</v>
      </c>
      <c r="L29" s="76" t="s">
        <v>53</v>
      </c>
      <c r="M29" s="76" t="s">
        <v>53</v>
      </c>
      <c r="N29" s="76" t="s">
        <v>53</v>
      </c>
      <c r="O29" s="76" t="s">
        <v>53</v>
      </c>
      <c r="P29" s="76" t="s">
        <v>96</v>
      </c>
      <c r="Q29" s="76" t="s">
        <v>96</v>
      </c>
      <c r="R29" s="76" t="s">
        <v>53</v>
      </c>
      <c r="S29" s="76" t="s">
        <v>53</v>
      </c>
      <c r="T29" s="76" t="s">
        <v>53</v>
      </c>
      <c r="U29" s="76" t="s">
        <v>53</v>
      </c>
      <c r="V29" s="75" t="s">
        <v>53</v>
      </c>
      <c r="W29" s="76" t="s">
        <v>96</v>
      </c>
      <c r="X29" s="76" t="s">
        <v>96</v>
      </c>
      <c r="Y29" s="76" t="s">
        <v>54</v>
      </c>
      <c r="Z29" s="76" t="s">
        <v>54</v>
      </c>
      <c r="AA29" s="76" t="s">
        <v>96</v>
      </c>
      <c r="AB29" s="76" t="s">
        <v>53</v>
      </c>
      <c r="AC29" s="76" t="s">
        <v>53</v>
      </c>
      <c r="AD29" s="76" t="s">
        <v>53</v>
      </c>
      <c r="AE29" s="76" t="s">
        <v>96</v>
      </c>
      <c r="AF29" s="118">
        <f t="shared" si="0"/>
        <v>15</v>
      </c>
      <c r="AG29" s="118">
        <f t="shared" si="1"/>
        <v>10</v>
      </c>
      <c r="AH29" s="119">
        <f t="shared" si="2"/>
        <v>3</v>
      </c>
      <c r="AI29" s="120">
        <f t="shared" si="3"/>
        <v>0</v>
      </c>
    </row>
    <row r="30" spans="1:53" ht="33.6" x14ac:dyDescent="0.65">
      <c r="A30" s="52">
        <v>17</v>
      </c>
      <c r="B30" s="14" t="s">
        <v>162</v>
      </c>
      <c r="C30" s="67" t="s">
        <v>94</v>
      </c>
      <c r="D30" s="81" t="s">
        <v>96</v>
      </c>
      <c r="E30" s="82" t="s">
        <v>53</v>
      </c>
      <c r="F30" s="82" t="s">
        <v>96</v>
      </c>
      <c r="G30" s="82" t="s">
        <v>96</v>
      </c>
      <c r="H30" s="82" t="s">
        <v>53</v>
      </c>
      <c r="I30" s="82" t="s">
        <v>55</v>
      </c>
      <c r="J30" s="82" t="s">
        <v>53</v>
      </c>
      <c r="K30" s="82" t="s">
        <v>53</v>
      </c>
      <c r="L30" s="82" t="s">
        <v>54</v>
      </c>
      <c r="M30" s="82" t="s">
        <v>54</v>
      </c>
      <c r="N30" s="82" t="s">
        <v>53</v>
      </c>
      <c r="O30" s="82" t="s">
        <v>53</v>
      </c>
      <c r="P30" s="82" t="s">
        <v>55</v>
      </c>
      <c r="Q30" s="82" t="s">
        <v>53</v>
      </c>
      <c r="R30" s="82" t="s">
        <v>53</v>
      </c>
      <c r="S30" s="82" t="s">
        <v>54</v>
      </c>
      <c r="T30" s="82" t="s">
        <v>54</v>
      </c>
      <c r="U30" s="82" t="s">
        <v>53</v>
      </c>
      <c r="V30" s="81" t="s">
        <v>96</v>
      </c>
      <c r="W30" s="82" t="s">
        <v>53</v>
      </c>
      <c r="X30" s="82" t="s">
        <v>96</v>
      </c>
      <c r="Y30" s="82" t="s">
        <v>96</v>
      </c>
      <c r="Z30" s="82" t="s">
        <v>53</v>
      </c>
      <c r="AA30" s="82" t="s">
        <v>55</v>
      </c>
      <c r="AB30" s="82" t="s">
        <v>96</v>
      </c>
      <c r="AC30" s="82" t="s">
        <v>53</v>
      </c>
      <c r="AD30" s="82" t="s">
        <v>53</v>
      </c>
      <c r="AE30" s="82" t="s">
        <v>55</v>
      </c>
      <c r="AF30" s="44">
        <f t="shared" si="0"/>
        <v>13</v>
      </c>
      <c r="AG30" s="31">
        <f t="shared" si="1"/>
        <v>7</v>
      </c>
      <c r="AH30" s="31">
        <f t="shared" si="2"/>
        <v>4</v>
      </c>
      <c r="AI30" s="62">
        <f t="shared" si="3"/>
        <v>4</v>
      </c>
    </row>
    <row r="31" spans="1:53" ht="33.6" x14ac:dyDescent="0.65">
      <c r="A31" s="131">
        <v>18</v>
      </c>
      <c r="B31" s="16" t="s">
        <v>163</v>
      </c>
      <c r="C31" s="74" t="s">
        <v>94</v>
      </c>
      <c r="D31" s="75" t="s">
        <v>53</v>
      </c>
      <c r="E31" s="76" t="s">
        <v>96</v>
      </c>
      <c r="F31" s="76" t="s">
        <v>53</v>
      </c>
      <c r="G31" s="76" t="s">
        <v>53</v>
      </c>
      <c r="H31" s="76" t="s">
        <v>53</v>
      </c>
      <c r="I31" s="76" t="s">
        <v>53</v>
      </c>
      <c r="J31" s="76" t="s">
        <v>53</v>
      </c>
      <c r="K31" s="76" t="s">
        <v>53</v>
      </c>
      <c r="L31" s="76" t="s">
        <v>53</v>
      </c>
      <c r="M31" s="76" t="s">
        <v>53</v>
      </c>
      <c r="N31" s="76" t="s">
        <v>53</v>
      </c>
      <c r="O31" s="76" t="s">
        <v>53</v>
      </c>
      <c r="P31" s="76" t="s">
        <v>53</v>
      </c>
      <c r="Q31" s="76" t="s">
        <v>53</v>
      </c>
      <c r="R31" s="76" t="s">
        <v>53</v>
      </c>
      <c r="S31" s="76" t="s">
        <v>53</v>
      </c>
      <c r="T31" s="76" t="s">
        <v>53</v>
      </c>
      <c r="U31" s="76" t="s">
        <v>53</v>
      </c>
      <c r="V31" s="75" t="s">
        <v>53</v>
      </c>
      <c r="W31" s="76" t="s">
        <v>55</v>
      </c>
      <c r="X31" s="76" t="s">
        <v>53</v>
      </c>
      <c r="Y31" s="76" t="s">
        <v>53</v>
      </c>
      <c r="Z31" s="76" t="s">
        <v>96</v>
      </c>
      <c r="AA31" s="76" t="s">
        <v>53</v>
      </c>
      <c r="AB31" s="76" t="s">
        <v>53</v>
      </c>
      <c r="AC31" s="76" t="s">
        <v>53</v>
      </c>
      <c r="AD31" s="76" t="s">
        <v>53</v>
      </c>
      <c r="AE31" s="76" t="s">
        <v>53</v>
      </c>
      <c r="AF31" s="118">
        <f t="shared" si="0"/>
        <v>25</v>
      </c>
      <c r="AG31" s="118">
        <f t="shared" si="1"/>
        <v>2</v>
      </c>
      <c r="AH31" s="119">
        <f t="shared" si="2"/>
        <v>0</v>
      </c>
      <c r="AI31" s="120">
        <f t="shared" si="3"/>
        <v>1</v>
      </c>
    </row>
    <row r="32" spans="1:53" ht="33.6" x14ac:dyDescent="0.65">
      <c r="A32" s="52">
        <v>19</v>
      </c>
      <c r="B32" s="14" t="s">
        <v>164</v>
      </c>
      <c r="C32" s="67" t="s">
        <v>94</v>
      </c>
      <c r="D32" s="81" t="s">
        <v>54</v>
      </c>
      <c r="E32" s="82" t="s">
        <v>96</v>
      </c>
      <c r="F32" s="82" t="s">
        <v>54</v>
      </c>
      <c r="G32" s="82" t="s">
        <v>54</v>
      </c>
      <c r="H32" s="82" t="s">
        <v>55</v>
      </c>
      <c r="I32" s="82" t="s">
        <v>53</v>
      </c>
      <c r="J32" s="82" t="s">
        <v>53</v>
      </c>
      <c r="K32" s="82" t="s">
        <v>96</v>
      </c>
      <c r="L32" s="82" t="s">
        <v>53</v>
      </c>
      <c r="M32" s="82" t="s">
        <v>53</v>
      </c>
      <c r="N32" s="82" t="s">
        <v>96</v>
      </c>
      <c r="O32" s="82" t="s">
        <v>55</v>
      </c>
      <c r="P32" s="82" t="s">
        <v>53</v>
      </c>
      <c r="Q32" s="82" t="s">
        <v>53</v>
      </c>
      <c r="R32" s="82" t="s">
        <v>96</v>
      </c>
      <c r="S32" s="82" t="s">
        <v>53</v>
      </c>
      <c r="T32" s="82" t="s">
        <v>53</v>
      </c>
      <c r="U32" s="82" t="s">
        <v>96</v>
      </c>
      <c r="V32" s="81" t="s">
        <v>54</v>
      </c>
      <c r="W32" s="82" t="s">
        <v>96</v>
      </c>
      <c r="X32" s="82" t="s">
        <v>54</v>
      </c>
      <c r="Y32" s="82" t="s">
        <v>54</v>
      </c>
      <c r="Z32" s="82" t="s">
        <v>55</v>
      </c>
      <c r="AA32" s="82" t="s">
        <v>53</v>
      </c>
      <c r="AB32" s="82" t="s">
        <v>53</v>
      </c>
      <c r="AC32" s="82" t="s">
        <v>96</v>
      </c>
      <c r="AD32" s="82" t="s">
        <v>55</v>
      </c>
      <c r="AE32" s="82" t="s">
        <v>53</v>
      </c>
      <c r="AF32" s="44">
        <f t="shared" si="0"/>
        <v>11</v>
      </c>
      <c r="AG32" s="31">
        <f t="shared" si="1"/>
        <v>7</v>
      </c>
      <c r="AH32" s="31">
        <f t="shared" si="2"/>
        <v>6</v>
      </c>
      <c r="AI32" s="62">
        <f t="shared" si="3"/>
        <v>4</v>
      </c>
    </row>
    <row r="33" spans="1:35" ht="33.6" x14ac:dyDescent="0.65">
      <c r="A33" s="131">
        <v>20</v>
      </c>
      <c r="B33" s="16" t="s">
        <v>165</v>
      </c>
      <c r="C33" s="74" t="s">
        <v>94</v>
      </c>
      <c r="D33" s="75" t="s">
        <v>53</v>
      </c>
      <c r="E33" s="76" t="s">
        <v>53</v>
      </c>
      <c r="F33" s="76" t="s">
        <v>53</v>
      </c>
      <c r="G33" s="76" t="s">
        <v>53</v>
      </c>
      <c r="H33" s="76" t="s">
        <v>53</v>
      </c>
      <c r="I33" s="76" t="s">
        <v>53</v>
      </c>
      <c r="J33" s="76" t="s">
        <v>53</v>
      </c>
      <c r="K33" s="76" t="s">
        <v>53</v>
      </c>
      <c r="L33" s="76" t="s">
        <v>53</v>
      </c>
      <c r="M33" s="76" t="s">
        <v>96</v>
      </c>
      <c r="N33" s="76" t="s">
        <v>53</v>
      </c>
      <c r="O33" s="76" t="s">
        <v>53</v>
      </c>
      <c r="P33" s="76" t="s">
        <v>53</v>
      </c>
      <c r="Q33" s="76" t="s">
        <v>53</v>
      </c>
      <c r="R33" s="76" t="s">
        <v>53</v>
      </c>
      <c r="S33" s="76" t="s">
        <v>53</v>
      </c>
      <c r="T33" s="76" t="s">
        <v>96</v>
      </c>
      <c r="U33" s="76" t="s">
        <v>53</v>
      </c>
      <c r="V33" s="75" t="s">
        <v>53</v>
      </c>
      <c r="W33" s="76" t="s">
        <v>54</v>
      </c>
      <c r="X33" s="76" t="s">
        <v>53</v>
      </c>
      <c r="Y33" s="76" t="s">
        <v>53</v>
      </c>
      <c r="Z33" s="76" t="s">
        <v>53</v>
      </c>
      <c r="AA33" s="76" t="s">
        <v>53</v>
      </c>
      <c r="AB33" s="76" t="s">
        <v>96</v>
      </c>
      <c r="AC33" s="76" t="s">
        <v>53</v>
      </c>
      <c r="AD33" s="76" t="s">
        <v>53</v>
      </c>
      <c r="AE33" s="76" t="s">
        <v>53</v>
      </c>
      <c r="AF33" s="118">
        <f t="shared" si="0"/>
        <v>24</v>
      </c>
      <c r="AG33" s="118">
        <f t="shared" si="1"/>
        <v>3</v>
      </c>
      <c r="AH33" s="119">
        <f t="shared" si="2"/>
        <v>1</v>
      </c>
      <c r="AI33" s="120">
        <f t="shared" si="3"/>
        <v>0</v>
      </c>
    </row>
    <row r="34" spans="1:35" ht="33.6" x14ac:dyDescent="0.65">
      <c r="A34" s="52">
        <v>21</v>
      </c>
      <c r="B34" s="14" t="s">
        <v>166</v>
      </c>
      <c r="C34" s="67" t="s">
        <v>94</v>
      </c>
      <c r="D34" s="81" t="s">
        <v>96</v>
      </c>
      <c r="E34" s="82" t="s">
        <v>96</v>
      </c>
      <c r="F34" s="82" t="s">
        <v>54</v>
      </c>
      <c r="G34" s="82" t="s">
        <v>54</v>
      </c>
      <c r="H34" s="82" t="s">
        <v>53</v>
      </c>
      <c r="I34" s="82" t="s">
        <v>53</v>
      </c>
      <c r="J34" s="82" t="s">
        <v>53</v>
      </c>
      <c r="K34" s="82" t="s">
        <v>53</v>
      </c>
      <c r="L34" s="82" t="s">
        <v>53</v>
      </c>
      <c r="M34" s="82" t="s">
        <v>53</v>
      </c>
      <c r="N34" s="82" t="s">
        <v>53</v>
      </c>
      <c r="O34" s="82" t="s">
        <v>53</v>
      </c>
      <c r="P34" s="82" t="s">
        <v>53</v>
      </c>
      <c r="Q34" s="82" t="s">
        <v>53</v>
      </c>
      <c r="R34" s="82" t="s">
        <v>53</v>
      </c>
      <c r="S34" s="82" t="s">
        <v>53</v>
      </c>
      <c r="T34" s="82" t="s">
        <v>53</v>
      </c>
      <c r="U34" s="82" t="s">
        <v>53</v>
      </c>
      <c r="V34" s="81" t="s">
        <v>96</v>
      </c>
      <c r="W34" s="82" t="s">
        <v>96</v>
      </c>
      <c r="X34" s="82" t="s">
        <v>54</v>
      </c>
      <c r="Y34" s="82" t="s">
        <v>54</v>
      </c>
      <c r="Z34" s="82" t="s">
        <v>53</v>
      </c>
      <c r="AA34" s="82" t="s">
        <v>53</v>
      </c>
      <c r="AB34" s="82" t="s">
        <v>53</v>
      </c>
      <c r="AC34" s="82" t="s">
        <v>53</v>
      </c>
      <c r="AD34" s="82" t="s">
        <v>55</v>
      </c>
      <c r="AE34" s="82" t="s">
        <v>53</v>
      </c>
      <c r="AF34" s="44">
        <f t="shared" si="0"/>
        <v>19</v>
      </c>
      <c r="AG34" s="31">
        <f t="shared" si="1"/>
        <v>4</v>
      </c>
      <c r="AH34" s="31">
        <f t="shared" si="2"/>
        <v>4</v>
      </c>
      <c r="AI34" s="62">
        <f t="shared" si="3"/>
        <v>1</v>
      </c>
    </row>
    <row r="35" spans="1:35" ht="33.6" x14ac:dyDescent="0.65">
      <c r="A35" s="131">
        <v>22</v>
      </c>
      <c r="B35" s="16" t="s">
        <v>166</v>
      </c>
      <c r="C35" s="74" t="s">
        <v>94</v>
      </c>
      <c r="D35" s="75" t="s">
        <v>53</v>
      </c>
      <c r="E35" s="76" t="s">
        <v>53</v>
      </c>
      <c r="F35" s="76" t="s">
        <v>53</v>
      </c>
      <c r="G35" s="76" t="s">
        <v>53</v>
      </c>
      <c r="H35" s="76" t="s">
        <v>96</v>
      </c>
      <c r="I35" s="76" t="s">
        <v>53</v>
      </c>
      <c r="J35" s="76" t="s">
        <v>53</v>
      </c>
      <c r="K35" s="76" t="s">
        <v>53</v>
      </c>
      <c r="L35" s="76" t="s">
        <v>53</v>
      </c>
      <c r="M35" s="76" t="s">
        <v>53</v>
      </c>
      <c r="N35" s="76" t="s">
        <v>53</v>
      </c>
      <c r="O35" s="76" t="s">
        <v>96</v>
      </c>
      <c r="P35" s="76" t="s">
        <v>53</v>
      </c>
      <c r="Q35" s="76" t="s">
        <v>53</v>
      </c>
      <c r="R35" s="76" t="s">
        <v>53</v>
      </c>
      <c r="S35" s="76" t="s">
        <v>53</v>
      </c>
      <c r="T35" s="76" t="s">
        <v>53</v>
      </c>
      <c r="U35" s="76" t="s">
        <v>53</v>
      </c>
      <c r="V35" s="75" t="s">
        <v>53</v>
      </c>
      <c r="W35" s="76" t="s">
        <v>53</v>
      </c>
      <c r="X35" s="76" t="s">
        <v>53</v>
      </c>
      <c r="Y35" s="76" t="s">
        <v>53</v>
      </c>
      <c r="Z35" s="76" t="s">
        <v>96</v>
      </c>
      <c r="AA35" s="76" t="s">
        <v>53</v>
      </c>
      <c r="AB35" s="76" t="s">
        <v>96</v>
      </c>
      <c r="AC35" s="76" t="s">
        <v>53</v>
      </c>
      <c r="AD35" s="76" t="s">
        <v>96</v>
      </c>
      <c r="AE35" s="76" t="s">
        <v>53</v>
      </c>
      <c r="AF35" s="118">
        <f t="shared" si="0"/>
        <v>23</v>
      </c>
      <c r="AG35" s="118">
        <f t="shared" si="1"/>
        <v>5</v>
      </c>
      <c r="AH35" s="119">
        <f t="shared" si="2"/>
        <v>0</v>
      </c>
      <c r="AI35" s="120">
        <f t="shared" si="3"/>
        <v>0</v>
      </c>
    </row>
    <row r="36" spans="1:35" ht="33.6" x14ac:dyDescent="0.65">
      <c r="A36" s="52">
        <v>23</v>
      </c>
      <c r="B36" s="14" t="s">
        <v>167</v>
      </c>
      <c r="C36" s="67" t="s">
        <v>94</v>
      </c>
      <c r="D36" s="81" t="s">
        <v>54</v>
      </c>
      <c r="E36" s="82" t="s">
        <v>53</v>
      </c>
      <c r="F36" s="82" t="s">
        <v>53</v>
      </c>
      <c r="G36" s="82" t="s">
        <v>53</v>
      </c>
      <c r="H36" s="82" t="s">
        <v>53</v>
      </c>
      <c r="I36" s="82" t="s">
        <v>53</v>
      </c>
      <c r="J36" s="82" t="s">
        <v>53</v>
      </c>
      <c r="K36" s="82" t="s">
        <v>53</v>
      </c>
      <c r="L36" s="82" t="s">
        <v>53</v>
      </c>
      <c r="M36" s="82" t="s">
        <v>53</v>
      </c>
      <c r="N36" s="82" t="s">
        <v>53</v>
      </c>
      <c r="O36" s="82" t="s">
        <v>53</v>
      </c>
      <c r="P36" s="82" t="s">
        <v>53</v>
      </c>
      <c r="Q36" s="82" t="s">
        <v>53</v>
      </c>
      <c r="R36" s="82" t="s">
        <v>53</v>
      </c>
      <c r="S36" s="82" t="s">
        <v>53</v>
      </c>
      <c r="T36" s="82" t="s">
        <v>53</v>
      </c>
      <c r="U36" s="82" t="s">
        <v>53</v>
      </c>
      <c r="V36" s="81" t="s">
        <v>54</v>
      </c>
      <c r="W36" s="82" t="s">
        <v>53</v>
      </c>
      <c r="X36" s="82" t="s">
        <v>53</v>
      </c>
      <c r="Y36" s="82" t="s">
        <v>53</v>
      </c>
      <c r="Z36" s="82" t="s">
        <v>53</v>
      </c>
      <c r="AA36" s="82" t="s">
        <v>53</v>
      </c>
      <c r="AB36" s="82" t="s">
        <v>53</v>
      </c>
      <c r="AC36" s="82" t="s">
        <v>53</v>
      </c>
      <c r="AD36" s="82" t="s">
        <v>53</v>
      </c>
      <c r="AE36" s="82" t="s">
        <v>53</v>
      </c>
      <c r="AF36" s="44">
        <f t="shared" si="0"/>
        <v>26</v>
      </c>
      <c r="AG36" s="31">
        <f t="shared" si="1"/>
        <v>0</v>
      </c>
      <c r="AH36" s="31">
        <f t="shared" si="2"/>
        <v>2</v>
      </c>
      <c r="AI36" s="62">
        <f t="shared" si="3"/>
        <v>0</v>
      </c>
    </row>
    <row r="37" spans="1:35" ht="33.6" x14ac:dyDescent="0.65">
      <c r="A37" s="131">
        <v>24</v>
      </c>
      <c r="B37" s="16" t="s">
        <v>168</v>
      </c>
      <c r="C37" s="74" t="s">
        <v>94</v>
      </c>
      <c r="D37" s="75" t="s">
        <v>53</v>
      </c>
      <c r="E37" s="76" t="s">
        <v>96</v>
      </c>
      <c r="F37" s="76" t="s">
        <v>54</v>
      </c>
      <c r="G37" s="76" t="s">
        <v>96</v>
      </c>
      <c r="H37" s="76" t="s">
        <v>54</v>
      </c>
      <c r="I37" s="76" t="s">
        <v>53</v>
      </c>
      <c r="J37" s="76" t="s">
        <v>53</v>
      </c>
      <c r="K37" s="76" t="s">
        <v>54</v>
      </c>
      <c r="L37" s="76" t="s">
        <v>54</v>
      </c>
      <c r="M37" s="76" t="s">
        <v>54</v>
      </c>
      <c r="N37" s="76" t="s">
        <v>96</v>
      </c>
      <c r="O37" s="76" t="s">
        <v>54</v>
      </c>
      <c r="P37" s="76" t="s">
        <v>53</v>
      </c>
      <c r="Q37" s="76" t="s">
        <v>53</v>
      </c>
      <c r="R37" s="76" t="s">
        <v>54</v>
      </c>
      <c r="S37" s="76" t="s">
        <v>54</v>
      </c>
      <c r="T37" s="76" t="s">
        <v>54</v>
      </c>
      <c r="U37" s="76" t="s">
        <v>96</v>
      </c>
      <c r="V37" s="75" t="s">
        <v>53</v>
      </c>
      <c r="W37" s="76" t="s">
        <v>54</v>
      </c>
      <c r="X37" s="76" t="s">
        <v>54</v>
      </c>
      <c r="Y37" s="76" t="s">
        <v>96</v>
      </c>
      <c r="Z37" s="76" t="s">
        <v>54</v>
      </c>
      <c r="AA37" s="76" t="s">
        <v>53</v>
      </c>
      <c r="AB37" s="76" t="s">
        <v>96</v>
      </c>
      <c r="AC37" s="76" t="s">
        <v>96</v>
      </c>
      <c r="AD37" s="76" t="s">
        <v>96</v>
      </c>
      <c r="AE37" s="76" t="s">
        <v>53</v>
      </c>
      <c r="AF37" s="118">
        <f t="shared" si="0"/>
        <v>8</v>
      </c>
      <c r="AG37" s="118">
        <f t="shared" si="1"/>
        <v>8</v>
      </c>
      <c r="AH37" s="119">
        <f t="shared" si="2"/>
        <v>12</v>
      </c>
      <c r="AI37" s="120">
        <f t="shared" si="3"/>
        <v>0</v>
      </c>
    </row>
    <row r="38" spans="1:35" ht="33.6" x14ac:dyDescent="0.65">
      <c r="A38" s="52">
        <v>25</v>
      </c>
      <c r="B38" s="14" t="s">
        <v>169</v>
      </c>
      <c r="C38" s="67" t="s">
        <v>94</v>
      </c>
      <c r="D38" s="81" t="s">
        <v>53</v>
      </c>
      <c r="E38" s="82" t="s">
        <v>54</v>
      </c>
      <c r="F38" s="82" t="s">
        <v>96</v>
      </c>
      <c r="G38" s="82" t="s">
        <v>53</v>
      </c>
      <c r="H38" s="82" t="s">
        <v>53</v>
      </c>
      <c r="I38" s="82" t="s">
        <v>96</v>
      </c>
      <c r="J38" s="82" t="s">
        <v>53</v>
      </c>
      <c r="K38" s="82" t="s">
        <v>53</v>
      </c>
      <c r="L38" s="82" t="s">
        <v>55</v>
      </c>
      <c r="M38" s="82" t="s">
        <v>96</v>
      </c>
      <c r="N38" s="82" t="s">
        <v>53</v>
      </c>
      <c r="O38" s="82" t="s">
        <v>53</v>
      </c>
      <c r="P38" s="82" t="s">
        <v>96</v>
      </c>
      <c r="Q38" s="82" t="s">
        <v>53</v>
      </c>
      <c r="R38" s="82" t="s">
        <v>53</v>
      </c>
      <c r="S38" s="82" t="s">
        <v>55</v>
      </c>
      <c r="T38" s="82" t="s">
        <v>96</v>
      </c>
      <c r="U38" s="82" t="s">
        <v>53</v>
      </c>
      <c r="V38" s="81" t="s">
        <v>53</v>
      </c>
      <c r="W38" s="82" t="s">
        <v>54</v>
      </c>
      <c r="X38" s="82" t="s">
        <v>96</v>
      </c>
      <c r="Y38" s="82" t="s">
        <v>53</v>
      </c>
      <c r="Z38" s="82" t="s">
        <v>53</v>
      </c>
      <c r="AA38" s="82" t="s">
        <v>96</v>
      </c>
      <c r="AB38" s="82" t="s">
        <v>96</v>
      </c>
      <c r="AC38" s="82" t="s">
        <v>53</v>
      </c>
      <c r="AD38" s="82" t="s">
        <v>53</v>
      </c>
      <c r="AE38" s="82" t="s">
        <v>96</v>
      </c>
      <c r="AF38" s="44">
        <f t="shared" si="0"/>
        <v>15</v>
      </c>
      <c r="AG38" s="31">
        <f t="shared" si="1"/>
        <v>9</v>
      </c>
      <c r="AH38" s="31">
        <f t="shared" si="2"/>
        <v>2</v>
      </c>
      <c r="AI38" s="62">
        <f t="shared" si="3"/>
        <v>2</v>
      </c>
    </row>
    <row r="39" spans="1:35" ht="33.6" x14ac:dyDescent="0.65">
      <c r="A39" s="131">
        <v>26</v>
      </c>
      <c r="B39" s="16" t="s">
        <v>170</v>
      </c>
      <c r="C39" s="74" t="s">
        <v>94</v>
      </c>
      <c r="D39" s="75" t="s">
        <v>53</v>
      </c>
      <c r="E39" s="76"/>
      <c r="F39" s="76" t="s">
        <v>96</v>
      </c>
      <c r="G39" s="76" t="s">
        <v>53</v>
      </c>
      <c r="H39" s="76" t="s">
        <v>53</v>
      </c>
      <c r="I39" s="76" t="s">
        <v>96</v>
      </c>
      <c r="J39" s="76" t="s">
        <v>54</v>
      </c>
      <c r="K39" s="76" t="s">
        <v>96</v>
      </c>
      <c r="L39" s="76" t="s">
        <v>96</v>
      </c>
      <c r="M39" s="76" t="s">
        <v>53</v>
      </c>
      <c r="N39" s="76" t="s">
        <v>53</v>
      </c>
      <c r="O39" s="76" t="s">
        <v>53</v>
      </c>
      <c r="P39" s="76" t="s">
        <v>96</v>
      </c>
      <c r="Q39" s="76" t="s">
        <v>54</v>
      </c>
      <c r="R39" s="76" t="s">
        <v>96</v>
      </c>
      <c r="S39" s="76" t="s">
        <v>96</v>
      </c>
      <c r="T39" s="76" t="s">
        <v>53</v>
      </c>
      <c r="U39" s="76" t="s">
        <v>53</v>
      </c>
      <c r="V39" s="75" t="s">
        <v>53</v>
      </c>
      <c r="W39" s="76" t="s">
        <v>54</v>
      </c>
      <c r="X39" s="76" t="s">
        <v>96</v>
      </c>
      <c r="Y39" s="76" t="s">
        <v>54</v>
      </c>
      <c r="Z39" s="76" t="s">
        <v>53</v>
      </c>
      <c r="AA39" s="76" t="s">
        <v>96</v>
      </c>
      <c r="AB39" s="76" t="s">
        <v>53</v>
      </c>
      <c r="AC39" s="76" t="s">
        <v>53</v>
      </c>
      <c r="AD39" s="76" t="s">
        <v>53</v>
      </c>
      <c r="AE39" s="76" t="s">
        <v>53</v>
      </c>
      <c r="AF39" s="118">
        <f t="shared" si="0"/>
        <v>14</v>
      </c>
      <c r="AG39" s="118">
        <f t="shared" si="1"/>
        <v>9</v>
      </c>
      <c r="AH39" s="119">
        <f t="shared" si="2"/>
        <v>4</v>
      </c>
      <c r="AI39" s="120">
        <f t="shared" si="3"/>
        <v>0</v>
      </c>
    </row>
    <row r="40" spans="1:35" ht="33.6" x14ac:dyDescent="0.65">
      <c r="A40" s="52">
        <v>27</v>
      </c>
      <c r="B40" s="14" t="s">
        <v>171</v>
      </c>
      <c r="C40" s="67" t="s">
        <v>94</v>
      </c>
      <c r="D40" s="81" t="s">
        <v>53</v>
      </c>
      <c r="E40" s="82" t="s">
        <v>53</v>
      </c>
      <c r="F40" s="82" t="s">
        <v>53</v>
      </c>
      <c r="G40" s="82" t="s">
        <v>53</v>
      </c>
      <c r="H40" s="82" t="s">
        <v>96</v>
      </c>
      <c r="I40" s="82" t="s">
        <v>53</v>
      </c>
      <c r="J40" s="82" t="s">
        <v>53</v>
      </c>
      <c r="K40" s="82" t="s">
        <v>53</v>
      </c>
      <c r="L40" s="82" t="s">
        <v>53</v>
      </c>
      <c r="M40" s="82" t="s">
        <v>96</v>
      </c>
      <c r="N40" s="82" t="s">
        <v>53</v>
      </c>
      <c r="O40" s="82" t="s">
        <v>96</v>
      </c>
      <c r="P40" s="82" t="s">
        <v>53</v>
      </c>
      <c r="Q40" s="82" t="s">
        <v>53</v>
      </c>
      <c r="R40" s="82" t="s">
        <v>53</v>
      </c>
      <c r="S40" s="82" t="s">
        <v>53</v>
      </c>
      <c r="T40" s="82" t="s">
        <v>96</v>
      </c>
      <c r="U40" s="82" t="s">
        <v>53</v>
      </c>
      <c r="V40" s="81" t="s">
        <v>53</v>
      </c>
      <c r="W40" s="82" t="s">
        <v>53</v>
      </c>
      <c r="X40" s="82" t="s">
        <v>53</v>
      </c>
      <c r="Y40" s="82" t="s">
        <v>53</v>
      </c>
      <c r="Z40" s="82" t="s">
        <v>54</v>
      </c>
      <c r="AA40" s="82" t="s">
        <v>53</v>
      </c>
      <c r="AB40" s="82" t="s">
        <v>96</v>
      </c>
      <c r="AC40" s="82" t="s">
        <v>53</v>
      </c>
      <c r="AD40" s="82" t="s">
        <v>96</v>
      </c>
      <c r="AE40" s="82" t="s">
        <v>53</v>
      </c>
      <c r="AF40" s="44">
        <f t="shared" si="0"/>
        <v>21</v>
      </c>
      <c r="AG40" s="31">
        <f t="shared" si="1"/>
        <v>6</v>
      </c>
      <c r="AH40" s="31">
        <f t="shared" si="2"/>
        <v>1</v>
      </c>
      <c r="AI40" s="62">
        <f t="shared" si="3"/>
        <v>0</v>
      </c>
    </row>
    <row r="41" spans="1:35" ht="33.6" x14ac:dyDescent="0.65">
      <c r="A41" s="131">
        <v>28</v>
      </c>
      <c r="B41" s="16" t="s">
        <v>172</v>
      </c>
      <c r="C41" s="74" t="s">
        <v>94</v>
      </c>
      <c r="D41" s="75" t="s">
        <v>55</v>
      </c>
      <c r="E41" s="76" t="s">
        <v>54</v>
      </c>
      <c r="F41" s="76" t="s">
        <v>53</v>
      </c>
      <c r="G41" s="76" t="s">
        <v>53</v>
      </c>
      <c r="H41" s="76" t="s">
        <v>53</v>
      </c>
      <c r="I41" s="76" t="s">
        <v>96</v>
      </c>
      <c r="J41" s="76" t="s">
        <v>53</v>
      </c>
      <c r="K41" s="76" t="s">
        <v>54</v>
      </c>
      <c r="L41" s="76" t="s">
        <v>54</v>
      </c>
      <c r="M41" s="76" t="s">
        <v>53</v>
      </c>
      <c r="N41" s="76" t="s">
        <v>96</v>
      </c>
      <c r="O41" s="76" t="s">
        <v>53</v>
      </c>
      <c r="P41" s="76" t="s">
        <v>96</v>
      </c>
      <c r="Q41" s="76" t="s">
        <v>53</v>
      </c>
      <c r="R41" s="76" t="s">
        <v>54</v>
      </c>
      <c r="S41" s="76" t="s">
        <v>54</v>
      </c>
      <c r="T41" s="76" t="s">
        <v>53</v>
      </c>
      <c r="U41" s="76" t="s">
        <v>96</v>
      </c>
      <c r="V41" s="75" t="s">
        <v>55</v>
      </c>
      <c r="W41" s="76" t="s">
        <v>54</v>
      </c>
      <c r="X41" s="76" t="s">
        <v>53</v>
      </c>
      <c r="Y41" s="76" t="s">
        <v>54</v>
      </c>
      <c r="Z41" s="76" t="s">
        <v>53</v>
      </c>
      <c r="AA41" s="76" t="s">
        <v>96</v>
      </c>
      <c r="AB41" s="76" t="s">
        <v>53</v>
      </c>
      <c r="AC41" s="76" t="s">
        <v>55</v>
      </c>
      <c r="AD41" s="76" t="s">
        <v>53</v>
      </c>
      <c r="AE41" s="76" t="s">
        <v>96</v>
      </c>
      <c r="AF41" s="118">
        <f t="shared" si="0"/>
        <v>12</v>
      </c>
      <c r="AG41" s="118">
        <f t="shared" si="1"/>
        <v>6</v>
      </c>
      <c r="AH41" s="119">
        <f t="shared" si="2"/>
        <v>7</v>
      </c>
      <c r="AI41" s="120">
        <f t="shared" si="3"/>
        <v>3</v>
      </c>
    </row>
    <row r="42" spans="1:35" ht="33.6" x14ac:dyDescent="0.65">
      <c r="A42" s="52">
        <v>29</v>
      </c>
      <c r="B42" s="14" t="s">
        <v>173</v>
      </c>
      <c r="C42" s="67" t="s">
        <v>94</v>
      </c>
      <c r="D42" s="81" t="s">
        <v>54</v>
      </c>
      <c r="E42" s="82" t="s">
        <v>53</v>
      </c>
      <c r="F42" s="82" t="s">
        <v>96</v>
      </c>
      <c r="G42" s="82" t="s">
        <v>53</v>
      </c>
      <c r="H42" s="82" t="s">
        <v>96</v>
      </c>
      <c r="I42" s="82" t="s">
        <v>53</v>
      </c>
      <c r="J42" s="82" t="s">
        <v>53</v>
      </c>
      <c r="K42" s="82" t="s">
        <v>96</v>
      </c>
      <c r="L42" s="82" t="s">
        <v>54</v>
      </c>
      <c r="M42" s="82" t="s">
        <v>53</v>
      </c>
      <c r="N42" s="82" t="s">
        <v>53</v>
      </c>
      <c r="O42" s="82" t="s">
        <v>96</v>
      </c>
      <c r="P42" s="82" t="s">
        <v>53</v>
      </c>
      <c r="Q42" s="82" t="s">
        <v>53</v>
      </c>
      <c r="R42" s="82" t="s">
        <v>96</v>
      </c>
      <c r="S42" s="82" t="s">
        <v>54</v>
      </c>
      <c r="T42" s="82" t="s">
        <v>53</v>
      </c>
      <c r="U42" s="82" t="s">
        <v>53</v>
      </c>
      <c r="V42" s="81" t="s">
        <v>54</v>
      </c>
      <c r="W42" s="82" t="s">
        <v>53</v>
      </c>
      <c r="X42" s="82" t="s">
        <v>96</v>
      </c>
      <c r="Y42" s="82" t="s">
        <v>53</v>
      </c>
      <c r="Z42" s="82" t="s">
        <v>54</v>
      </c>
      <c r="AA42" s="82" t="s">
        <v>53</v>
      </c>
      <c r="AB42" s="82" t="s">
        <v>53</v>
      </c>
      <c r="AC42" s="82" t="s">
        <v>53</v>
      </c>
      <c r="AD42" s="82" t="s">
        <v>96</v>
      </c>
      <c r="AE42" s="82" t="s">
        <v>53</v>
      </c>
      <c r="AF42" s="44">
        <f t="shared" si="0"/>
        <v>16</v>
      </c>
      <c r="AG42" s="31">
        <f t="shared" si="1"/>
        <v>7</v>
      </c>
      <c r="AH42" s="31">
        <f t="shared" si="2"/>
        <v>5</v>
      </c>
      <c r="AI42" s="62">
        <f t="shared" si="3"/>
        <v>0</v>
      </c>
    </row>
    <row r="43" spans="1:35" ht="33.6" x14ac:dyDescent="0.65">
      <c r="A43" s="131">
        <v>30</v>
      </c>
      <c r="B43" s="16" t="s">
        <v>174</v>
      </c>
      <c r="C43" s="74" t="s">
        <v>94</v>
      </c>
      <c r="D43" s="75" t="s">
        <v>53</v>
      </c>
      <c r="E43" s="76" t="s">
        <v>53</v>
      </c>
      <c r="F43" s="76" t="s">
        <v>53</v>
      </c>
      <c r="G43" s="76" t="s">
        <v>96</v>
      </c>
      <c r="H43" s="76" t="s">
        <v>53</v>
      </c>
      <c r="I43" s="76" t="s">
        <v>53</v>
      </c>
      <c r="J43" s="76" t="s">
        <v>54</v>
      </c>
      <c r="K43" s="76" t="s">
        <v>53</v>
      </c>
      <c r="L43" s="76" t="s">
        <v>53</v>
      </c>
      <c r="M43" s="76" t="s">
        <v>53</v>
      </c>
      <c r="N43" s="76" t="s">
        <v>53</v>
      </c>
      <c r="O43" s="76" t="s">
        <v>53</v>
      </c>
      <c r="P43" s="76" t="s">
        <v>53</v>
      </c>
      <c r="Q43" s="76" t="s">
        <v>54</v>
      </c>
      <c r="R43" s="76" t="s">
        <v>53</v>
      </c>
      <c r="S43" s="76" t="s">
        <v>53</v>
      </c>
      <c r="T43" s="76" t="s">
        <v>53</v>
      </c>
      <c r="U43" s="76" t="s">
        <v>53</v>
      </c>
      <c r="V43" s="75" t="s">
        <v>53</v>
      </c>
      <c r="W43" s="76" t="s">
        <v>53</v>
      </c>
      <c r="X43" s="76" t="s">
        <v>53</v>
      </c>
      <c r="Y43" s="76" t="s">
        <v>96</v>
      </c>
      <c r="Z43" s="76" t="s">
        <v>53</v>
      </c>
      <c r="AA43" s="76" t="s">
        <v>53</v>
      </c>
      <c r="AB43" s="76" t="s">
        <v>53</v>
      </c>
      <c r="AC43" s="76" t="s">
        <v>53</v>
      </c>
      <c r="AD43" s="76" t="s">
        <v>53</v>
      </c>
      <c r="AE43" s="76" t="s">
        <v>53</v>
      </c>
      <c r="AF43" s="118">
        <f t="shared" si="0"/>
        <v>24</v>
      </c>
      <c r="AG43" s="118">
        <f t="shared" si="1"/>
        <v>2</v>
      </c>
      <c r="AH43" s="119">
        <f t="shared" si="2"/>
        <v>2</v>
      </c>
      <c r="AI43" s="120">
        <f t="shared" si="3"/>
        <v>0</v>
      </c>
    </row>
    <row r="44" spans="1:35" ht="33.6" x14ac:dyDescent="0.65">
      <c r="A44" s="52">
        <v>31</v>
      </c>
      <c r="B44" s="50"/>
      <c r="C44" s="67"/>
      <c r="D44" s="81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3"/>
      <c r="P44" s="82"/>
      <c r="Q44" s="82"/>
      <c r="R44" s="82"/>
      <c r="S44" s="82"/>
      <c r="T44" s="82"/>
      <c r="U44" s="84"/>
      <c r="V44" s="81"/>
      <c r="W44" s="82"/>
      <c r="X44" s="82"/>
      <c r="Y44" s="82"/>
      <c r="Z44" s="82"/>
      <c r="AA44" s="85"/>
      <c r="AB44" s="81"/>
      <c r="AC44" s="86"/>
      <c r="AD44" s="82"/>
      <c r="AE44" s="85"/>
      <c r="AF44" s="44" t="str">
        <f t="shared" si="0"/>
        <v/>
      </c>
      <c r="AG44" s="31" t="str">
        <f t="shared" si="1"/>
        <v/>
      </c>
      <c r="AH44" s="31" t="str">
        <f t="shared" si="2"/>
        <v/>
      </c>
      <c r="AI44" s="62" t="str">
        <f t="shared" si="3"/>
        <v/>
      </c>
    </row>
    <row r="45" spans="1:35" ht="33.6" x14ac:dyDescent="0.65">
      <c r="A45" s="131">
        <v>32</v>
      </c>
      <c r="B45" s="73"/>
      <c r="C45" s="74"/>
      <c r="D45" s="75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7"/>
      <c r="P45" s="76"/>
      <c r="Q45" s="76"/>
      <c r="R45" s="76"/>
      <c r="S45" s="76"/>
      <c r="T45" s="76"/>
      <c r="U45" s="78"/>
      <c r="V45" s="75"/>
      <c r="W45" s="76"/>
      <c r="X45" s="76"/>
      <c r="Y45" s="76"/>
      <c r="Z45" s="76"/>
      <c r="AA45" s="79"/>
      <c r="AB45" s="75"/>
      <c r="AC45" s="80"/>
      <c r="AD45" s="76"/>
      <c r="AE45" s="79"/>
      <c r="AF45" s="118" t="str">
        <f t="shared" si="0"/>
        <v/>
      </c>
      <c r="AG45" s="118" t="str">
        <f t="shared" si="1"/>
        <v/>
      </c>
      <c r="AH45" s="119" t="str">
        <f t="shared" si="2"/>
        <v/>
      </c>
      <c r="AI45" s="120" t="str">
        <f t="shared" si="3"/>
        <v/>
      </c>
    </row>
    <row r="46" spans="1:35" ht="33.6" x14ac:dyDescent="0.65">
      <c r="A46" s="52">
        <v>33</v>
      </c>
      <c r="B46" s="50"/>
      <c r="C46" s="67"/>
      <c r="D46" s="81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3"/>
      <c r="P46" s="82"/>
      <c r="Q46" s="82"/>
      <c r="R46" s="82"/>
      <c r="S46" s="82"/>
      <c r="T46" s="82"/>
      <c r="U46" s="84"/>
      <c r="V46" s="81"/>
      <c r="W46" s="82"/>
      <c r="X46" s="82"/>
      <c r="Y46" s="82"/>
      <c r="Z46" s="82"/>
      <c r="AA46" s="85"/>
      <c r="AB46" s="81"/>
      <c r="AC46" s="86"/>
      <c r="AD46" s="82"/>
      <c r="AE46" s="85"/>
      <c r="AF46" s="44" t="str">
        <f t="shared" si="0"/>
        <v/>
      </c>
      <c r="AG46" s="31" t="str">
        <f t="shared" si="1"/>
        <v/>
      </c>
      <c r="AH46" s="31" t="str">
        <f t="shared" si="2"/>
        <v/>
      </c>
      <c r="AI46" s="62" t="str">
        <f t="shared" si="3"/>
        <v/>
      </c>
    </row>
    <row r="47" spans="1:35" ht="33.6" x14ac:dyDescent="0.65">
      <c r="A47" s="131">
        <v>34</v>
      </c>
      <c r="B47" s="73"/>
      <c r="C47" s="74"/>
      <c r="D47" s="75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7"/>
      <c r="P47" s="76"/>
      <c r="Q47" s="76"/>
      <c r="R47" s="76"/>
      <c r="S47" s="76"/>
      <c r="T47" s="76"/>
      <c r="U47" s="78"/>
      <c r="V47" s="75"/>
      <c r="W47" s="76"/>
      <c r="X47" s="76"/>
      <c r="Y47" s="76"/>
      <c r="Z47" s="76"/>
      <c r="AA47" s="79"/>
      <c r="AB47" s="75"/>
      <c r="AC47" s="80"/>
      <c r="AD47" s="76"/>
      <c r="AE47" s="79"/>
      <c r="AF47" s="118" t="str">
        <f t="shared" si="0"/>
        <v/>
      </c>
      <c r="AG47" s="118" t="str">
        <f t="shared" si="1"/>
        <v/>
      </c>
      <c r="AH47" s="119" t="str">
        <f t="shared" si="2"/>
        <v/>
      </c>
      <c r="AI47" s="120" t="str">
        <f t="shared" si="3"/>
        <v/>
      </c>
    </row>
    <row r="48" spans="1:35" ht="33.6" x14ac:dyDescent="0.65">
      <c r="A48" s="52">
        <v>35</v>
      </c>
      <c r="B48" s="50"/>
      <c r="C48" s="67"/>
      <c r="D48" s="81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3"/>
      <c r="P48" s="82"/>
      <c r="Q48" s="82"/>
      <c r="R48" s="82"/>
      <c r="S48" s="82"/>
      <c r="T48" s="82"/>
      <c r="U48" s="84"/>
      <c r="V48" s="81"/>
      <c r="W48" s="82"/>
      <c r="X48" s="82"/>
      <c r="Y48" s="82"/>
      <c r="Z48" s="82"/>
      <c r="AA48" s="85"/>
      <c r="AB48" s="81"/>
      <c r="AC48" s="86"/>
      <c r="AD48" s="82"/>
      <c r="AE48" s="85"/>
      <c r="AF48" s="44" t="str">
        <f t="shared" si="0"/>
        <v/>
      </c>
      <c r="AG48" s="31" t="str">
        <f t="shared" si="1"/>
        <v/>
      </c>
      <c r="AH48" s="31" t="str">
        <f t="shared" si="2"/>
        <v/>
      </c>
      <c r="AI48" s="62" t="str">
        <f t="shared" si="3"/>
        <v/>
      </c>
    </row>
    <row r="49" spans="1:35" ht="33.6" x14ac:dyDescent="0.65">
      <c r="A49" s="131">
        <v>36</v>
      </c>
      <c r="B49" s="73"/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7"/>
      <c r="P49" s="76"/>
      <c r="Q49" s="76"/>
      <c r="R49" s="76"/>
      <c r="S49" s="76"/>
      <c r="T49" s="76"/>
      <c r="U49" s="78"/>
      <c r="V49" s="75"/>
      <c r="W49" s="76"/>
      <c r="X49" s="76"/>
      <c r="Y49" s="76"/>
      <c r="Z49" s="76"/>
      <c r="AA49" s="79"/>
      <c r="AB49" s="75"/>
      <c r="AC49" s="80"/>
      <c r="AD49" s="76"/>
      <c r="AE49" s="79"/>
      <c r="AF49" s="118" t="str">
        <f t="shared" si="0"/>
        <v/>
      </c>
      <c r="AG49" s="118" t="str">
        <f t="shared" si="1"/>
        <v/>
      </c>
      <c r="AH49" s="119" t="str">
        <f t="shared" si="2"/>
        <v/>
      </c>
      <c r="AI49" s="120" t="str">
        <f t="shared" si="3"/>
        <v/>
      </c>
    </row>
    <row r="50" spans="1:35" ht="33.6" x14ac:dyDescent="0.65">
      <c r="A50" s="52">
        <v>37</v>
      </c>
      <c r="B50" s="50"/>
      <c r="C50" s="67"/>
      <c r="D50" s="81"/>
      <c r="E50" s="82"/>
      <c r="F50" s="82"/>
      <c r="G50" s="82"/>
      <c r="H50" s="82"/>
      <c r="I50" s="82"/>
      <c r="J50" s="82"/>
      <c r="K50" s="82"/>
      <c r="L50" s="82"/>
      <c r="M50" s="82"/>
      <c r="N50" s="82"/>
      <c r="O50" s="83"/>
      <c r="P50" s="82"/>
      <c r="Q50" s="82"/>
      <c r="R50" s="82"/>
      <c r="S50" s="82"/>
      <c r="T50" s="82"/>
      <c r="U50" s="84"/>
      <c r="V50" s="81"/>
      <c r="W50" s="82"/>
      <c r="X50" s="82"/>
      <c r="Y50" s="82"/>
      <c r="Z50" s="82"/>
      <c r="AA50" s="85"/>
      <c r="AB50" s="81"/>
      <c r="AC50" s="86"/>
      <c r="AD50" s="82"/>
      <c r="AE50" s="85"/>
      <c r="AF50" s="44" t="str">
        <f t="shared" si="0"/>
        <v/>
      </c>
      <c r="AG50" s="31" t="str">
        <f t="shared" si="1"/>
        <v/>
      </c>
      <c r="AH50" s="31" t="str">
        <f t="shared" si="2"/>
        <v/>
      </c>
      <c r="AI50" s="62" t="str">
        <f t="shared" si="3"/>
        <v/>
      </c>
    </row>
    <row r="51" spans="1:35" ht="33.6" x14ac:dyDescent="0.65">
      <c r="A51" s="131">
        <v>38</v>
      </c>
      <c r="B51" s="73"/>
      <c r="C51" s="74"/>
      <c r="D51" s="75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7"/>
      <c r="P51" s="76"/>
      <c r="Q51" s="76"/>
      <c r="R51" s="76"/>
      <c r="S51" s="76"/>
      <c r="T51" s="76"/>
      <c r="U51" s="78"/>
      <c r="V51" s="75"/>
      <c r="W51" s="76"/>
      <c r="X51" s="76"/>
      <c r="Y51" s="76"/>
      <c r="Z51" s="76"/>
      <c r="AA51" s="79"/>
      <c r="AB51" s="75"/>
      <c r="AC51" s="80"/>
      <c r="AD51" s="76"/>
      <c r="AE51" s="79"/>
      <c r="AF51" s="118" t="str">
        <f t="shared" si="0"/>
        <v/>
      </c>
      <c r="AG51" s="118" t="str">
        <f t="shared" si="1"/>
        <v/>
      </c>
      <c r="AH51" s="119" t="str">
        <f t="shared" si="2"/>
        <v/>
      </c>
      <c r="AI51" s="120" t="str">
        <f t="shared" si="3"/>
        <v/>
      </c>
    </row>
    <row r="52" spans="1:35" ht="33.6" x14ac:dyDescent="0.65">
      <c r="A52" s="52">
        <v>39</v>
      </c>
      <c r="B52" s="50"/>
      <c r="C52" s="67"/>
      <c r="D52" s="81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3"/>
      <c r="P52" s="82"/>
      <c r="Q52" s="82"/>
      <c r="R52" s="82"/>
      <c r="S52" s="82"/>
      <c r="T52" s="82"/>
      <c r="U52" s="84"/>
      <c r="V52" s="81"/>
      <c r="W52" s="82"/>
      <c r="X52" s="82"/>
      <c r="Y52" s="82"/>
      <c r="Z52" s="82"/>
      <c r="AA52" s="85"/>
      <c r="AB52" s="81"/>
      <c r="AC52" s="86"/>
      <c r="AD52" s="82"/>
      <c r="AE52" s="85"/>
      <c r="AF52" s="44" t="str">
        <f t="shared" si="0"/>
        <v/>
      </c>
      <c r="AG52" s="31" t="str">
        <f t="shared" si="1"/>
        <v/>
      </c>
      <c r="AH52" s="31" t="str">
        <f t="shared" si="2"/>
        <v/>
      </c>
      <c r="AI52" s="62" t="str">
        <f t="shared" si="3"/>
        <v/>
      </c>
    </row>
    <row r="53" spans="1:35" ht="34.200000000000003" thickBot="1" x14ac:dyDescent="0.7">
      <c r="A53" s="132">
        <v>40</v>
      </c>
      <c r="B53" s="87"/>
      <c r="C53" s="88"/>
      <c r="D53" s="89"/>
      <c r="E53" s="90"/>
      <c r="F53" s="90"/>
      <c r="G53" s="90"/>
      <c r="H53" s="90"/>
      <c r="I53" s="90"/>
      <c r="J53" s="90"/>
      <c r="K53" s="90"/>
      <c r="L53" s="90"/>
      <c r="M53" s="90"/>
      <c r="N53" s="90"/>
      <c r="O53" s="91"/>
      <c r="P53" s="90"/>
      <c r="Q53" s="90"/>
      <c r="R53" s="90"/>
      <c r="S53" s="90"/>
      <c r="T53" s="90"/>
      <c r="U53" s="92"/>
      <c r="V53" s="89"/>
      <c r="W53" s="90"/>
      <c r="X53" s="90"/>
      <c r="Y53" s="90"/>
      <c r="Z53" s="90"/>
      <c r="AA53" s="93"/>
      <c r="AB53" s="89"/>
      <c r="AC53" s="94"/>
      <c r="AD53" s="90"/>
      <c r="AE53" s="93"/>
      <c r="AF53" s="121" t="str">
        <f t="shared" si="0"/>
        <v/>
      </c>
      <c r="AG53" s="121" t="str">
        <f t="shared" si="1"/>
        <v/>
      </c>
      <c r="AH53" s="122" t="str">
        <f t="shared" si="2"/>
        <v/>
      </c>
      <c r="AI53" s="123" t="str">
        <f t="shared" si="3"/>
        <v/>
      </c>
    </row>
    <row r="54" spans="1:35" ht="15" thickTop="1" x14ac:dyDescent="0.3"/>
    <row r="55" spans="1:35" ht="39.6" customHeight="1" x14ac:dyDescent="0.65">
      <c r="AC55" s="37"/>
    </row>
    <row r="56" spans="1:35" ht="14.4" customHeight="1" x14ac:dyDescent="0.3">
      <c r="D56" s="206" t="s">
        <v>141</v>
      </c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 t="s">
        <v>145</v>
      </c>
      <c r="P56" s="206"/>
      <c r="Q56" s="206"/>
      <c r="R56" s="206"/>
      <c r="S56" s="206"/>
      <c r="T56" s="206"/>
      <c r="U56" s="206"/>
      <c r="V56" s="206" t="s">
        <v>142</v>
      </c>
      <c r="W56" s="206"/>
      <c r="X56" s="206"/>
      <c r="Y56" s="206"/>
      <c r="Z56" s="206"/>
      <c r="AA56" s="206"/>
      <c r="AB56" s="206" t="s">
        <v>143</v>
      </c>
      <c r="AC56" s="206"/>
      <c r="AD56" s="206"/>
      <c r="AE56" s="206"/>
    </row>
    <row r="57" spans="1:35" ht="69.599999999999994" customHeight="1" thickBot="1" x14ac:dyDescent="0.35"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  <c r="AD57" s="206"/>
      <c r="AE57" s="206"/>
    </row>
    <row r="58" spans="1:35" ht="30" thickTop="1" thickBot="1" x14ac:dyDescent="0.35">
      <c r="B58" s="289" t="s">
        <v>59</v>
      </c>
      <c r="C58" s="290"/>
      <c r="D58" s="196" t="s">
        <v>14</v>
      </c>
      <c r="E58" s="197" t="s">
        <v>15</v>
      </c>
      <c r="F58" s="197" t="s">
        <v>16</v>
      </c>
      <c r="G58" s="198" t="s">
        <v>17</v>
      </c>
      <c r="H58" s="199" t="s">
        <v>18</v>
      </c>
      <c r="I58" s="200" t="s">
        <v>19</v>
      </c>
      <c r="J58" s="200" t="s">
        <v>20</v>
      </c>
      <c r="K58" s="200" t="s">
        <v>21</v>
      </c>
      <c r="L58" s="200" t="s">
        <v>22</v>
      </c>
      <c r="M58" s="201" t="s">
        <v>23</v>
      </c>
      <c r="N58" s="202" t="s">
        <v>24</v>
      </c>
      <c r="O58" s="107" t="s">
        <v>25</v>
      </c>
      <c r="P58" s="108" t="s">
        <v>26</v>
      </c>
      <c r="Q58" s="108" t="s">
        <v>27</v>
      </c>
      <c r="R58" s="108" t="s">
        <v>28</v>
      </c>
      <c r="S58" s="108" t="s">
        <v>29</v>
      </c>
      <c r="T58" s="108" t="s">
        <v>30</v>
      </c>
      <c r="U58" s="109" t="s">
        <v>31</v>
      </c>
      <c r="V58" s="107" t="s">
        <v>32</v>
      </c>
      <c r="W58" s="108" t="s">
        <v>33</v>
      </c>
      <c r="X58" s="108" t="s">
        <v>34</v>
      </c>
      <c r="Y58" s="108" t="s">
        <v>35</v>
      </c>
      <c r="Z58" s="108" t="s">
        <v>36</v>
      </c>
      <c r="AA58" s="109" t="s">
        <v>37</v>
      </c>
      <c r="AB58" s="107" t="s">
        <v>38</v>
      </c>
      <c r="AC58" s="108" t="s">
        <v>91</v>
      </c>
      <c r="AD58" s="108" t="s">
        <v>92</v>
      </c>
      <c r="AE58" s="109" t="s">
        <v>93</v>
      </c>
    </row>
    <row r="59" spans="1:35" ht="34.200000000000003" thickTop="1" x14ac:dyDescent="0.65">
      <c r="B59" s="287" t="s">
        <v>101</v>
      </c>
      <c r="C59" s="288"/>
      <c r="D59" s="66">
        <f t="shared" ref="D59:AE59" si="4">COUNTIF(D14:D53,"✔️")</f>
        <v>18</v>
      </c>
      <c r="E59" s="23">
        <f t="shared" si="4"/>
        <v>17</v>
      </c>
      <c r="F59" s="23">
        <f t="shared" si="4"/>
        <v>16</v>
      </c>
      <c r="G59" s="23">
        <f t="shared" si="4"/>
        <v>19</v>
      </c>
      <c r="H59" s="23">
        <f t="shared" si="4"/>
        <v>21</v>
      </c>
      <c r="I59" s="23">
        <f t="shared" si="4"/>
        <v>19</v>
      </c>
      <c r="J59" s="23">
        <f t="shared" si="4"/>
        <v>21</v>
      </c>
      <c r="K59" s="23">
        <f t="shared" si="4"/>
        <v>15</v>
      </c>
      <c r="L59" s="23">
        <f t="shared" si="4"/>
        <v>19</v>
      </c>
      <c r="M59" s="23">
        <f t="shared" si="4"/>
        <v>19</v>
      </c>
      <c r="N59" s="24">
        <f t="shared" si="4"/>
        <v>20</v>
      </c>
      <c r="O59" s="66">
        <f t="shared" si="4"/>
        <v>16</v>
      </c>
      <c r="P59" s="23">
        <f t="shared" si="4"/>
        <v>22</v>
      </c>
      <c r="Q59" s="23">
        <f t="shared" si="4"/>
        <v>22</v>
      </c>
      <c r="R59" s="23">
        <f t="shared" si="4"/>
        <v>20</v>
      </c>
      <c r="S59" s="23">
        <f t="shared" si="4"/>
        <v>17</v>
      </c>
      <c r="T59" s="23">
        <f t="shared" si="4"/>
        <v>20</v>
      </c>
      <c r="U59" s="53">
        <f t="shared" si="4"/>
        <v>19</v>
      </c>
      <c r="V59" s="66">
        <f t="shared" si="4"/>
        <v>14</v>
      </c>
      <c r="W59" s="23">
        <f t="shared" si="4"/>
        <v>8</v>
      </c>
      <c r="X59" s="23">
        <f t="shared" si="4"/>
        <v>18</v>
      </c>
      <c r="Y59" s="23">
        <f t="shared" si="4"/>
        <v>14</v>
      </c>
      <c r="Z59" s="23">
        <f t="shared" si="4"/>
        <v>13</v>
      </c>
      <c r="AA59" s="24">
        <f t="shared" si="4"/>
        <v>20</v>
      </c>
      <c r="AB59" s="66">
        <f t="shared" si="4"/>
        <v>17</v>
      </c>
      <c r="AC59" s="23">
        <f t="shared" si="4"/>
        <v>24</v>
      </c>
      <c r="AD59" s="23">
        <f t="shared" si="4"/>
        <v>19</v>
      </c>
      <c r="AE59" s="24">
        <f t="shared" si="4"/>
        <v>23</v>
      </c>
    </row>
    <row r="60" spans="1:35" ht="33.6" x14ac:dyDescent="0.65">
      <c r="B60" s="280" t="s">
        <v>102</v>
      </c>
      <c r="C60" s="281"/>
      <c r="D60" s="110">
        <f>COUNTIF(D14:D53,"⚫")</f>
        <v>5</v>
      </c>
      <c r="E60" s="111">
        <f>COUNTIF(E14:E53,"⚫")</f>
        <v>10</v>
      </c>
      <c r="F60" s="111">
        <f t="shared" ref="F60:AE60" si="5">COUNTIF(F14:F53,"⚫")</f>
        <v>8</v>
      </c>
      <c r="G60" s="111">
        <f t="shared" si="5"/>
        <v>6</v>
      </c>
      <c r="H60" s="111">
        <f t="shared" si="5"/>
        <v>6</v>
      </c>
      <c r="I60" s="111">
        <f t="shared" si="5"/>
        <v>8</v>
      </c>
      <c r="J60" s="111">
        <f t="shared" si="5"/>
        <v>5</v>
      </c>
      <c r="K60" s="111">
        <f t="shared" si="5"/>
        <v>10</v>
      </c>
      <c r="L60" s="111">
        <f t="shared" si="5"/>
        <v>4</v>
      </c>
      <c r="M60" s="111">
        <f t="shared" si="5"/>
        <v>8</v>
      </c>
      <c r="N60" s="112">
        <f t="shared" si="5"/>
        <v>6</v>
      </c>
      <c r="O60" s="110">
        <f t="shared" si="5"/>
        <v>7</v>
      </c>
      <c r="P60" s="111">
        <f t="shared" si="5"/>
        <v>7</v>
      </c>
      <c r="Q60" s="111">
        <f t="shared" si="5"/>
        <v>3</v>
      </c>
      <c r="R60" s="111">
        <f t="shared" si="5"/>
        <v>6</v>
      </c>
      <c r="S60" s="111">
        <f t="shared" si="5"/>
        <v>6</v>
      </c>
      <c r="T60" s="111">
        <f t="shared" si="5"/>
        <v>5</v>
      </c>
      <c r="U60" s="113">
        <f t="shared" si="5"/>
        <v>7</v>
      </c>
      <c r="V60" s="110">
        <f t="shared" si="5"/>
        <v>8</v>
      </c>
      <c r="W60" s="111">
        <f t="shared" si="5"/>
        <v>6</v>
      </c>
      <c r="X60" s="111">
        <f t="shared" si="5"/>
        <v>7</v>
      </c>
      <c r="Y60" s="111">
        <f t="shared" si="5"/>
        <v>4</v>
      </c>
      <c r="Z60" s="111">
        <f t="shared" si="5"/>
        <v>6</v>
      </c>
      <c r="AA60" s="112">
        <f t="shared" si="5"/>
        <v>6</v>
      </c>
      <c r="AB60" s="110">
        <f t="shared" si="5"/>
        <v>12</v>
      </c>
      <c r="AC60" s="111">
        <f t="shared" si="5"/>
        <v>5</v>
      </c>
      <c r="AD60" s="111">
        <f t="shared" si="5"/>
        <v>8</v>
      </c>
      <c r="AE60" s="112">
        <f t="shared" si="5"/>
        <v>6</v>
      </c>
    </row>
    <row r="61" spans="1:35" ht="33.6" x14ac:dyDescent="0.65">
      <c r="B61" s="287" t="s">
        <v>103</v>
      </c>
      <c r="C61" s="288"/>
      <c r="D61" s="61">
        <f t="shared" ref="D61:AB61" si="6">COUNTIF(D14:D53,"❌")</f>
        <v>6</v>
      </c>
      <c r="E61" s="31">
        <f t="shared" si="6"/>
        <v>2</v>
      </c>
      <c r="F61" s="31">
        <f t="shared" si="6"/>
        <v>5</v>
      </c>
      <c r="G61" s="31">
        <f t="shared" si="6"/>
        <v>4</v>
      </c>
      <c r="H61" s="31">
        <f t="shared" si="6"/>
        <v>2</v>
      </c>
      <c r="I61" s="31">
        <f t="shared" si="6"/>
        <v>2</v>
      </c>
      <c r="J61" s="31">
        <f t="shared" si="6"/>
        <v>4</v>
      </c>
      <c r="K61" s="31">
        <f t="shared" si="6"/>
        <v>5</v>
      </c>
      <c r="L61" s="31">
        <f t="shared" si="6"/>
        <v>6</v>
      </c>
      <c r="M61" s="31">
        <f t="shared" si="6"/>
        <v>3</v>
      </c>
      <c r="N61" s="62">
        <f t="shared" si="6"/>
        <v>3</v>
      </c>
      <c r="O61" s="61">
        <f t="shared" si="6"/>
        <v>4</v>
      </c>
      <c r="P61" s="31">
        <f t="shared" si="6"/>
        <v>0</v>
      </c>
      <c r="Q61" s="31">
        <f t="shared" si="6"/>
        <v>5</v>
      </c>
      <c r="R61" s="31">
        <f t="shared" si="6"/>
        <v>4</v>
      </c>
      <c r="S61" s="31">
        <f t="shared" si="6"/>
        <v>6</v>
      </c>
      <c r="T61" s="31">
        <f t="shared" si="6"/>
        <v>5</v>
      </c>
      <c r="U61" s="64">
        <f t="shared" si="6"/>
        <v>3</v>
      </c>
      <c r="V61" s="61">
        <f t="shared" si="6"/>
        <v>6</v>
      </c>
      <c r="W61" s="31">
        <f t="shared" si="6"/>
        <v>15</v>
      </c>
      <c r="X61" s="31">
        <f t="shared" si="6"/>
        <v>5</v>
      </c>
      <c r="Y61" s="31">
        <f t="shared" si="6"/>
        <v>12</v>
      </c>
      <c r="Z61" s="31">
        <f t="shared" si="6"/>
        <v>10</v>
      </c>
      <c r="AA61" s="62">
        <f t="shared" si="6"/>
        <v>3</v>
      </c>
      <c r="AB61" s="61">
        <f t="shared" si="6"/>
        <v>0</v>
      </c>
      <c r="AC61" s="31">
        <f t="shared" ref="AC61:AE61" si="7">COUNTIF(AC14:AC53,"❌")</f>
        <v>0</v>
      </c>
      <c r="AD61" s="31">
        <f t="shared" si="7"/>
        <v>0</v>
      </c>
      <c r="AE61" s="62">
        <f t="shared" si="7"/>
        <v>0</v>
      </c>
    </row>
    <row r="62" spans="1:35" ht="34.200000000000003" thickBot="1" x14ac:dyDescent="0.7">
      <c r="B62" s="307" t="s">
        <v>62</v>
      </c>
      <c r="C62" s="308"/>
      <c r="D62" s="114">
        <f t="shared" ref="D62:AB62" si="8">COUNTIF(D14:D53,"➖")</f>
        <v>1</v>
      </c>
      <c r="E62" s="115">
        <f t="shared" si="8"/>
        <v>0</v>
      </c>
      <c r="F62" s="115">
        <f t="shared" si="8"/>
        <v>1</v>
      </c>
      <c r="G62" s="115">
        <f t="shared" si="8"/>
        <v>1</v>
      </c>
      <c r="H62" s="115">
        <f t="shared" si="8"/>
        <v>1</v>
      </c>
      <c r="I62" s="115">
        <f t="shared" si="8"/>
        <v>1</v>
      </c>
      <c r="J62" s="115">
        <f t="shared" si="8"/>
        <v>0</v>
      </c>
      <c r="K62" s="115">
        <f t="shared" si="8"/>
        <v>0</v>
      </c>
      <c r="L62" s="115">
        <f t="shared" si="8"/>
        <v>1</v>
      </c>
      <c r="M62" s="115">
        <f t="shared" si="8"/>
        <v>0</v>
      </c>
      <c r="N62" s="116">
        <f t="shared" si="8"/>
        <v>1</v>
      </c>
      <c r="O62" s="114">
        <f t="shared" si="8"/>
        <v>3</v>
      </c>
      <c r="P62" s="115">
        <f t="shared" si="8"/>
        <v>1</v>
      </c>
      <c r="Q62" s="115">
        <f t="shared" si="8"/>
        <v>0</v>
      </c>
      <c r="R62" s="115">
        <f t="shared" si="8"/>
        <v>0</v>
      </c>
      <c r="S62" s="115">
        <f t="shared" si="8"/>
        <v>1</v>
      </c>
      <c r="T62" s="115">
        <f t="shared" si="8"/>
        <v>0</v>
      </c>
      <c r="U62" s="117">
        <f t="shared" si="8"/>
        <v>1</v>
      </c>
      <c r="V62" s="110">
        <f t="shared" si="8"/>
        <v>2</v>
      </c>
      <c r="W62" s="111">
        <f t="shared" si="8"/>
        <v>1</v>
      </c>
      <c r="X62" s="111">
        <f t="shared" si="8"/>
        <v>0</v>
      </c>
      <c r="Y62" s="115">
        <f t="shared" si="8"/>
        <v>0</v>
      </c>
      <c r="Z62" s="111">
        <f t="shared" si="8"/>
        <v>1</v>
      </c>
      <c r="AA62" s="112">
        <f t="shared" si="8"/>
        <v>1</v>
      </c>
      <c r="AB62" s="114">
        <f t="shared" si="8"/>
        <v>1</v>
      </c>
      <c r="AC62" s="115">
        <f t="shared" ref="AC62:AE62" si="9">COUNTIF(AC14:AC53,"➖")</f>
        <v>1</v>
      </c>
      <c r="AD62" s="115">
        <f t="shared" si="9"/>
        <v>3</v>
      </c>
      <c r="AE62" s="116">
        <f t="shared" si="9"/>
        <v>1</v>
      </c>
    </row>
    <row r="63" spans="1:35" ht="34.799999999999997" hidden="1" thickTop="1" thickBot="1" x14ac:dyDescent="0.35">
      <c r="D63" s="95"/>
      <c r="E63" s="96" t="s">
        <v>63</v>
      </c>
      <c r="F63" s="97" t="s">
        <v>64</v>
      </c>
      <c r="G63" s="98" t="s">
        <v>65</v>
      </c>
      <c r="H63" s="99" t="s">
        <v>66</v>
      </c>
      <c r="I63" s="100" t="s">
        <v>67</v>
      </c>
      <c r="J63" s="101" t="s">
        <v>68</v>
      </c>
      <c r="K63" s="100" t="s">
        <v>69</v>
      </c>
      <c r="L63" s="102" t="s">
        <v>70</v>
      </c>
      <c r="M63" s="103" t="s">
        <v>71</v>
      </c>
      <c r="N63" s="101" t="s">
        <v>72</v>
      </c>
      <c r="O63" s="97" t="s">
        <v>73</v>
      </c>
      <c r="P63" s="97" t="s">
        <v>74</v>
      </c>
      <c r="Q63" s="97" t="s">
        <v>75</v>
      </c>
      <c r="R63" s="98" t="s">
        <v>76</v>
      </c>
      <c r="S63" s="103" t="s">
        <v>77</v>
      </c>
      <c r="T63" s="97" t="s">
        <v>78</v>
      </c>
      <c r="U63" s="102" t="s">
        <v>79</v>
      </c>
      <c r="V63" s="99" t="s">
        <v>80</v>
      </c>
      <c r="W63" s="104" t="s">
        <v>81</v>
      </c>
      <c r="X63" s="103" t="s">
        <v>82</v>
      </c>
      <c r="Y63" s="97" t="s">
        <v>83</v>
      </c>
      <c r="Z63" s="97" t="s">
        <v>84</v>
      </c>
      <c r="AA63" s="105" t="s">
        <v>85</v>
      </c>
      <c r="AB63" s="106" t="s">
        <v>86</v>
      </c>
    </row>
    <row r="64" spans="1:35" ht="15.6" hidden="1" thickTop="1" thickBot="1" x14ac:dyDescent="0.35">
      <c r="V64" s="54"/>
      <c r="W64" s="55"/>
      <c r="X64" s="55"/>
      <c r="Y64" s="55"/>
      <c r="Z64" s="55"/>
      <c r="AA64" s="56"/>
    </row>
    <row r="65" spans="2:43" ht="15" thickTop="1" x14ac:dyDescent="0.3">
      <c r="V65" s="65"/>
      <c r="W65" s="65"/>
      <c r="X65" s="65"/>
      <c r="Z65" s="65"/>
      <c r="AA65" s="65"/>
    </row>
    <row r="70" spans="2:43" ht="105.6" customHeight="1" x14ac:dyDescent="0.3">
      <c r="B70" s="270" t="s">
        <v>90</v>
      </c>
      <c r="C70" s="271"/>
      <c r="D70" s="273" t="s">
        <v>137</v>
      </c>
      <c r="E70" s="273"/>
      <c r="F70" s="273"/>
      <c r="G70" s="273"/>
      <c r="H70" s="273"/>
      <c r="I70" s="303" t="s">
        <v>138</v>
      </c>
      <c r="J70" s="304"/>
      <c r="K70" s="304"/>
      <c r="L70" s="304"/>
      <c r="M70" s="305"/>
      <c r="N70" s="273" t="s">
        <v>139</v>
      </c>
      <c r="O70" s="273"/>
      <c r="P70" s="273"/>
      <c r="Q70" s="273"/>
      <c r="R70" s="273"/>
      <c r="S70" s="303" t="s">
        <v>140</v>
      </c>
      <c r="T70" s="304"/>
      <c r="U70" s="304"/>
      <c r="V70" s="304"/>
      <c r="W70" s="305"/>
      <c r="Y70"/>
      <c r="Z70"/>
      <c r="AA70"/>
      <c r="AB70"/>
      <c r="AC70"/>
      <c r="AD70"/>
      <c r="AE70"/>
      <c r="AF70"/>
    </row>
    <row r="71" spans="2:43" ht="145.94999999999999" customHeight="1" x14ac:dyDescent="0.3">
      <c r="D71" s="274" t="s">
        <v>98</v>
      </c>
      <c r="E71" s="274" t="s">
        <v>99</v>
      </c>
      <c r="F71" s="274" t="s">
        <v>100</v>
      </c>
      <c r="G71" s="274" t="s">
        <v>58</v>
      </c>
      <c r="H71" s="272" t="s">
        <v>144</v>
      </c>
      <c r="I71" s="274" t="s">
        <v>98</v>
      </c>
      <c r="J71" s="274" t="s">
        <v>99</v>
      </c>
      <c r="K71" s="274" t="s">
        <v>100</v>
      </c>
      <c r="L71" s="274" t="s">
        <v>58</v>
      </c>
      <c r="M71" s="272" t="s">
        <v>144</v>
      </c>
      <c r="N71" s="274" t="s">
        <v>98</v>
      </c>
      <c r="O71" s="274" t="s">
        <v>99</v>
      </c>
      <c r="P71" s="274" t="s">
        <v>100</v>
      </c>
      <c r="Q71" s="274" t="s">
        <v>58</v>
      </c>
      <c r="R71" s="272" t="s">
        <v>144</v>
      </c>
      <c r="S71" s="274" t="s">
        <v>98</v>
      </c>
      <c r="T71" s="274" t="s">
        <v>99</v>
      </c>
      <c r="U71" s="274" t="s">
        <v>100</v>
      </c>
      <c r="V71" s="274" t="s">
        <v>58</v>
      </c>
      <c r="W71" s="272" t="s">
        <v>144</v>
      </c>
      <c r="Y71"/>
      <c r="Z71"/>
      <c r="AA71"/>
      <c r="AB71"/>
      <c r="AC71"/>
      <c r="AD71"/>
      <c r="AE71"/>
      <c r="AF71"/>
    </row>
    <row r="72" spans="2:43" x14ac:dyDescent="0.3">
      <c r="D72" s="274"/>
      <c r="E72" s="274"/>
      <c r="F72" s="274"/>
      <c r="G72" s="274"/>
      <c r="H72" s="272"/>
      <c r="I72" s="274"/>
      <c r="J72" s="274"/>
      <c r="K72" s="274"/>
      <c r="L72" s="274"/>
      <c r="M72" s="272"/>
      <c r="N72" s="274"/>
      <c r="O72" s="274"/>
      <c r="P72" s="274"/>
      <c r="Q72" s="274"/>
      <c r="R72" s="272"/>
      <c r="S72" s="274"/>
      <c r="T72" s="274"/>
      <c r="U72" s="274"/>
      <c r="V72" s="274"/>
      <c r="W72" s="272"/>
      <c r="Y72"/>
      <c r="Z72"/>
      <c r="AA72"/>
      <c r="AB72"/>
      <c r="AC72"/>
      <c r="AD72"/>
      <c r="AE72"/>
      <c r="AF72"/>
    </row>
    <row r="73" spans="2:43" ht="31.2" customHeight="1" x14ac:dyDescent="0.65">
      <c r="D73" s="31">
        <f>IF(C14="PRESENTE",COUNTIF(D14:N14,"✔️"),"")</f>
        <v>7</v>
      </c>
      <c r="E73" s="31">
        <f>IF(C14="PRESENTE",COUNTIF(D14:N14,"⚫"),"")</f>
        <v>2</v>
      </c>
      <c r="F73" s="31">
        <f>IF(C14="PRESENTE",COUNTIF(D14:N14,"❌"),"")</f>
        <v>2</v>
      </c>
      <c r="G73" s="31">
        <f>IF(C14="PRESENTE",COUNTIF(D14:N14,"➖"),"")</f>
        <v>0</v>
      </c>
      <c r="H73" s="193">
        <f>D73/11</f>
        <v>0.63636363636363635</v>
      </c>
      <c r="I73" s="31">
        <f>IF(C14="PRESENTE",COUNTIF(O14:U14,"✔️"),"")</f>
        <v>3</v>
      </c>
      <c r="J73" s="31">
        <f>IF(C14="PRESENTE",COUNTIF(O14:U14,"⚫"),"")</f>
        <v>3</v>
      </c>
      <c r="K73" s="31">
        <f>IF(C14="PRESENTE",COUNTIF(O14:U14,"❌"),"")</f>
        <v>1</v>
      </c>
      <c r="L73" s="31">
        <f>IF(C14="PRESENTE",COUNTIF(O14:U14,"➖"),"")</f>
        <v>0</v>
      </c>
      <c r="M73" s="193">
        <f>I73/7</f>
        <v>0.42857142857142855</v>
      </c>
      <c r="N73" s="31">
        <f>IF(C14="PRESENTE",COUNTIF(V14:AA14,"✔️"),"")</f>
        <v>1</v>
      </c>
      <c r="O73" s="31">
        <f>IF(C14="PRESENTE",COUNTIF(V14:AA14,"⚫"),"")</f>
        <v>3</v>
      </c>
      <c r="P73" s="31">
        <f>IF(C14="PRESENTE",COUNTIF(V14:AA14,"❌"),"")</f>
        <v>2</v>
      </c>
      <c r="Q73" s="31">
        <f>IF(C14="PRESENTE",COUNTIF(V14:AA14,"➖"),"")</f>
        <v>0</v>
      </c>
      <c r="R73" s="193">
        <f>N73/6</f>
        <v>0.16666666666666666</v>
      </c>
      <c r="S73" s="31">
        <f>IF(C14="PRESENTE",COUNTIF(AB14:AE14,"✔️"),"")</f>
        <v>2</v>
      </c>
      <c r="T73" s="31">
        <f>IF(C14="PRESENTE",COUNTIF(AB14:AE14,"⚫"),"")</f>
        <v>1</v>
      </c>
      <c r="U73" s="31">
        <f>IF(C14="PRESENTE",COUNTIF(AB14:AE14,"❌"),"")</f>
        <v>0</v>
      </c>
      <c r="V73" s="31">
        <f>IF(C14="PRESENTE",COUNTIF(AE14:AH14,"➖"),"")</f>
        <v>0</v>
      </c>
      <c r="W73" s="193">
        <f>S73/4</f>
        <v>0.5</v>
      </c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 s="195">
        <v>1</v>
      </c>
    </row>
    <row r="74" spans="2:43" ht="33.6" x14ac:dyDescent="0.3">
      <c r="D74" s="192">
        <f t="shared" ref="D74:D112" si="10">IF(C15="PRESENTE",COUNTIF(D15:N15,"✔️"),"")</f>
        <v>6</v>
      </c>
      <c r="E74" s="192" t="str">
        <f t="shared" ref="E74:E112" si="11">IF(D15="PRESENTE",COUNTIF(D15:N15,"⚫"),"")</f>
        <v/>
      </c>
      <c r="F74" s="192" t="str">
        <f t="shared" ref="F74:F112" si="12">IF(E15="PRESENTE",COUNTIF(D15:N15,"❌"),"")</f>
        <v/>
      </c>
      <c r="G74" s="192" t="str">
        <f t="shared" ref="G74:G112" si="13">IF(F15="PRESENTE",COUNTIF(D15:N15,"➖"),"")</f>
        <v/>
      </c>
      <c r="H74" s="194">
        <f t="shared" ref="H74:H112" si="14">D74/11</f>
        <v>0.54545454545454541</v>
      </c>
      <c r="I74" s="192">
        <f t="shared" ref="I74:I112" si="15">IF(C15="PRESENTE",COUNTIF(O15:U15,"✔️"),"")</f>
        <v>6</v>
      </c>
      <c r="J74" s="192" t="str">
        <f t="shared" ref="J74:J112" si="16">IF(D15="PRESENTE",COUNTIF(O15:U15,"⚫"),"")</f>
        <v/>
      </c>
      <c r="K74" s="192" t="str">
        <f t="shared" ref="K74:K112" si="17">IF(E15="PRESENTE",COUNTIF(O15:U15,"❌"),"")</f>
        <v/>
      </c>
      <c r="L74" s="192" t="str">
        <f t="shared" ref="L74:L112" si="18">IF(F15="PRESENTE",COUNTIF(O15:U15,"➖"),"")</f>
        <v/>
      </c>
      <c r="M74" s="192">
        <f t="shared" ref="M74:M112" si="19">I74/7</f>
        <v>0.8571428571428571</v>
      </c>
      <c r="N74" s="192">
        <f t="shared" ref="N74:N112" si="20">IF(C15="PRESENTE",COUNTIF(V15:AA15,"✔️"),"")</f>
        <v>2</v>
      </c>
      <c r="O74" s="192" t="str">
        <f t="shared" ref="O74:O112" si="21">IF(D15="PRESENTE",COUNTIF(V15:AA15,"⚫"),"")</f>
        <v/>
      </c>
      <c r="P74" s="192" t="str">
        <f t="shared" ref="P74:P112" si="22">IF(E15="PRESENTE",COUNTIF(V15:AA15,"❌"),"")</f>
        <v/>
      </c>
      <c r="Q74" s="192" t="str">
        <f t="shared" ref="Q74:Q112" si="23">IF(F15="PRESENTE",COUNTIF(V15:AA15,"➖"),"")</f>
        <v/>
      </c>
      <c r="R74" s="192">
        <f t="shared" ref="R74:R112" si="24">N74/6</f>
        <v>0.33333333333333331</v>
      </c>
      <c r="S74" s="192">
        <f t="shared" ref="S74:S112" si="25">IF(C15="PRESENTE",COUNTIF(AB15:AE15,"✔️"),"")</f>
        <v>3</v>
      </c>
      <c r="T74" s="192" t="str">
        <f t="shared" ref="T74:T112" si="26">IF(D15="PRESENTE",COUNTIF(AB15:AE15,"⚫"),"")</f>
        <v/>
      </c>
      <c r="U74" s="192" t="str">
        <f t="shared" ref="U74:U112" si="27">IF(E15="PRESENTE",COUNTIF(AB15:AE15,"❌"),"")</f>
        <v/>
      </c>
      <c r="V74" s="192" t="str">
        <f t="shared" ref="V74:V112" si="28">IF(F15="PRESENTE",COUNTIF(AE15:AH15,"➖"),"")</f>
        <v/>
      </c>
      <c r="W74" s="192">
        <f t="shared" ref="W74:W112" si="29">S74/4</f>
        <v>0.75</v>
      </c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</row>
    <row r="75" spans="2:43" ht="33.6" x14ac:dyDescent="0.3">
      <c r="D75" s="31">
        <f t="shared" si="10"/>
        <v>9</v>
      </c>
      <c r="E75" s="31" t="str">
        <f t="shared" si="11"/>
        <v/>
      </c>
      <c r="F75" s="31" t="str">
        <f t="shared" si="12"/>
        <v/>
      </c>
      <c r="G75" s="31" t="str">
        <f t="shared" si="13"/>
        <v/>
      </c>
      <c r="H75" s="193">
        <f t="shared" si="14"/>
        <v>0.81818181818181823</v>
      </c>
      <c r="I75" s="31">
        <f t="shared" si="15"/>
        <v>6</v>
      </c>
      <c r="J75" s="31" t="str">
        <f t="shared" si="16"/>
        <v/>
      </c>
      <c r="K75" s="31" t="str">
        <f t="shared" si="17"/>
        <v/>
      </c>
      <c r="L75" s="31" t="str">
        <f t="shared" si="18"/>
        <v/>
      </c>
      <c r="M75" s="193">
        <f t="shared" si="19"/>
        <v>0.8571428571428571</v>
      </c>
      <c r="N75" s="31">
        <f t="shared" si="20"/>
        <v>2</v>
      </c>
      <c r="O75" s="31" t="str">
        <f t="shared" si="21"/>
        <v/>
      </c>
      <c r="P75" s="31" t="str">
        <f t="shared" si="22"/>
        <v/>
      </c>
      <c r="Q75" s="31" t="str">
        <f t="shared" si="23"/>
        <v/>
      </c>
      <c r="R75" s="193">
        <f t="shared" si="24"/>
        <v>0.33333333333333331</v>
      </c>
      <c r="S75" s="31">
        <f t="shared" si="25"/>
        <v>2</v>
      </c>
      <c r="T75" s="31" t="str">
        <f t="shared" si="26"/>
        <v/>
      </c>
      <c r="U75" s="31" t="str">
        <f t="shared" si="27"/>
        <v/>
      </c>
      <c r="V75" s="31" t="str">
        <f t="shared" si="28"/>
        <v/>
      </c>
      <c r="W75" s="193">
        <f t="shared" si="29"/>
        <v>0.5</v>
      </c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</row>
    <row r="76" spans="2:43" ht="33.6" x14ac:dyDescent="0.3">
      <c r="D76" s="192">
        <f t="shared" si="10"/>
        <v>7</v>
      </c>
      <c r="E76" s="192" t="str">
        <f t="shared" si="11"/>
        <v/>
      </c>
      <c r="F76" s="192" t="str">
        <f t="shared" si="12"/>
        <v/>
      </c>
      <c r="G76" s="192" t="str">
        <f t="shared" si="13"/>
        <v/>
      </c>
      <c r="H76" s="194">
        <f t="shared" si="14"/>
        <v>0.63636363636363635</v>
      </c>
      <c r="I76" s="192">
        <f t="shared" si="15"/>
        <v>4</v>
      </c>
      <c r="J76" s="192" t="str">
        <f t="shared" si="16"/>
        <v/>
      </c>
      <c r="K76" s="192" t="str">
        <f t="shared" si="17"/>
        <v/>
      </c>
      <c r="L76" s="192" t="str">
        <f t="shared" si="18"/>
        <v/>
      </c>
      <c r="M76" s="192">
        <f t="shared" si="19"/>
        <v>0.5714285714285714</v>
      </c>
      <c r="N76" s="192">
        <f t="shared" si="20"/>
        <v>4</v>
      </c>
      <c r="O76" s="192" t="str">
        <f t="shared" si="21"/>
        <v/>
      </c>
      <c r="P76" s="192" t="str">
        <f t="shared" si="22"/>
        <v/>
      </c>
      <c r="Q76" s="192" t="str">
        <f t="shared" si="23"/>
        <v/>
      </c>
      <c r="R76" s="192">
        <f t="shared" si="24"/>
        <v>0.66666666666666663</v>
      </c>
      <c r="S76" s="192">
        <f t="shared" si="25"/>
        <v>2</v>
      </c>
      <c r="T76" s="192" t="str">
        <f t="shared" si="26"/>
        <v/>
      </c>
      <c r="U76" s="192" t="str">
        <f t="shared" si="27"/>
        <v/>
      </c>
      <c r="V76" s="192" t="str">
        <f t="shared" si="28"/>
        <v/>
      </c>
      <c r="W76" s="192">
        <f t="shared" si="29"/>
        <v>0.5</v>
      </c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</row>
    <row r="77" spans="2:43" ht="33.6" x14ac:dyDescent="0.3">
      <c r="D77" s="31">
        <f t="shared" si="10"/>
        <v>7</v>
      </c>
      <c r="E77" s="31" t="str">
        <f t="shared" si="11"/>
        <v/>
      </c>
      <c r="F77" s="31" t="str">
        <f t="shared" si="12"/>
        <v/>
      </c>
      <c r="G77" s="31" t="str">
        <f t="shared" si="13"/>
        <v/>
      </c>
      <c r="H77" s="193">
        <f t="shared" si="14"/>
        <v>0.63636363636363635</v>
      </c>
      <c r="I77" s="31">
        <f t="shared" si="15"/>
        <v>6</v>
      </c>
      <c r="J77" s="31" t="str">
        <f t="shared" si="16"/>
        <v/>
      </c>
      <c r="K77" s="31" t="str">
        <f t="shared" si="17"/>
        <v/>
      </c>
      <c r="L77" s="31" t="str">
        <f t="shared" si="18"/>
        <v/>
      </c>
      <c r="M77" s="193">
        <f t="shared" si="19"/>
        <v>0.8571428571428571</v>
      </c>
      <c r="N77" s="31">
        <f t="shared" si="20"/>
        <v>3</v>
      </c>
      <c r="O77" s="31" t="str">
        <f t="shared" si="21"/>
        <v/>
      </c>
      <c r="P77" s="31" t="str">
        <f t="shared" si="22"/>
        <v/>
      </c>
      <c r="Q77" s="31" t="str">
        <f t="shared" si="23"/>
        <v/>
      </c>
      <c r="R77" s="193">
        <f t="shared" si="24"/>
        <v>0.5</v>
      </c>
      <c r="S77" s="31">
        <f t="shared" si="25"/>
        <v>3</v>
      </c>
      <c r="T77" s="31" t="str">
        <f t="shared" si="26"/>
        <v/>
      </c>
      <c r="U77" s="31" t="str">
        <f t="shared" si="27"/>
        <v/>
      </c>
      <c r="V77" s="31" t="str">
        <f t="shared" si="28"/>
        <v/>
      </c>
      <c r="W77" s="193">
        <f t="shared" si="29"/>
        <v>0.75</v>
      </c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</row>
    <row r="78" spans="2:43" ht="33.6" x14ac:dyDescent="0.3">
      <c r="D78" s="192">
        <f t="shared" si="10"/>
        <v>8</v>
      </c>
      <c r="E78" s="192" t="str">
        <f t="shared" si="11"/>
        <v/>
      </c>
      <c r="F78" s="192" t="str">
        <f t="shared" si="12"/>
        <v/>
      </c>
      <c r="G78" s="192" t="str">
        <f t="shared" si="13"/>
        <v/>
      </c>
      <c r="H78" s="194">
        <f t="shared" si="14"/>
        <v>0.72727272727272729</v>
      </c>
      <c r="I78" s="192">
        <f t="shared" si="15"/>
        <v>4</v>
      </c>
      <c r="J78" s="192" t="str">
        <f t="shared" si="16"/>
        <v/>
      </c>
      <c r="K78" s="192" t="str">
        <f t="shared" si="17"/>
        <v/>
      </c>
      <c r="L78" s="192" t="str">
        <f t="shared" si="18"/>
        <v/>
      </c>
      <c r="M78" s="192">
        <f t="shared" si="19"/>
        <v>0.5714285714285714</v>
      </c>
      <c r="N78" s="192">
        <f t="shared" si="20"/>
        <v>0</v>
      </c>
      <c r="O78" s="192" t="str">
        <f t="shared" si="21"/>
        <v/>
      </c>
      <c r="P78" s="192" t="str">
        <f t="shared" si="22"/>
        <v/>
      </c>
      <c r="Q78" s="192" t="str">
        <f t="shared" si="23"/>
        <v/>
      </c>
      <c r="R78" s="192">
        <f t="shared" si="24"/>
        <v>0</v>
      </c>
      <c r="S78" s="192">
        <f t="shared" si="25"/>
        <v>3</v>
      </c>
      <c r="T78" s="192" t="str">
        <f t="shared" si="26"/>
        <v/>
      </c>
      <c r="U78" s="192" t="str">
        <f t="shared" si="27"/>
        <v/>
      </c>
      <c r="V78" s="192" t="str">
        <f t="shared" si="28"/>
        <v/>
      </c>
      <c r="W78" s="192">
        <f t="shared" si="29"/>
        <v>0.75</v>
      </c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</row>
    <row r="79" spans="2:43" ht="33.6" x14ac:dyDescent="0.3">
      <c r="D79" s="31">
        <f t="shared" si="10"/>
        <v>3</v>
      </c>
      <c r="E79" s="31" t="str">
        <f t="shared" si="11"/>
        <v/>
      </c>
      <c r="F79" s="31" t="str">
        <f t="shared" si="12"/>
        <v/>
      </c>
      <c r="G79" s="31" t="str">
        <f t="shared" si="13"/>
        <v/>
      </c>
      <c r="H79" s="193">
        <f t="shared" si="14"/>
        <v>0.27272727272727271</v>
      </c>
      <c r="I79" s="31">
        <f t="shared" si="15"/>
        <v>4</v>
      </c>
      <c r="J79" s="31" t="str">
        <f t="shared" si="16"/>
        <v/>
      </c>
      <c r="K79" s="31" t="str">
        <f t="shared" si="17"/>
        <v/>
      </c>
      <c r="L79" s="31" t="str">
        <f t="shared" si="18"/>
        <v/>
      </c>
      <c r="M79" s="193">
        <f t="shared" si="19"/>
        <v>0.5714285714285714</v>
      </c>
      <c r="N79" s="31">
        <f t="shared" si="20"/>
        <v>4</v>
      </c>
      <c r="O79" s="31" t="str">
        <f t="shared" si="21"/>
        <v/>
      </c>
      <c r="P79" s="31" t="str">
        <f t="shared" si="22"/>
        <v/>
      </c>
      <c r="Q79" s="31" t="str">
        <f t="shared" si="23"/>
        <v/>
      </c>
      <c r="R79" s="193">
        <f t="shared" si="24"/>
        <v>0.66666666666666663</v>
      </c>
      <c r="S79" s="31">
        <f t="shared" si="25"/>
        <v>4</v>
      </c>
      <c r="T79" s="31" t="str">
        <f t="shared" si="26"/>
        <v/>
      </c>
      <c r="U79" s="31" t="str">
        <f t="shared" si="27"/>
        <v/>
      </c>
      <c r="V79" s="31" t="str">
        <f t="shared" si="28"/>
        <v/>
      </c>
      <c r="W79" s="193">
        <f t="shared" si="29"/>
        <v>1</v>
      </c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</row>
    <row r="80" spans="2:43" ht="33.6" x14ac:dyDescent="0.3">
      <c r="D80" s="192">
        <f t="shared" si="10"/>
        <v>4</v>
      </c>
      <c r="E80" s="192" t="str">
        <f t="shared" si="11"/>
        <v/>
      </c>
      <c r="F80" s="192" t="str">
        <f t="shared" si="12"/>
        <v/>
      </c>
      <c r="G80" s="192" t="str">
        <f t="shared" si="13"/>
        <v/>
      </c>
      <c r="H80" s="194">
        <f t="shared" si="14"/>
        <v>0.36363636363636365</v>
      </c>
      <c r="I80" s="192">
        <f t="shared" si="15"/>
        <v>4</v>
      </c>
      <c r="J80" s="192" t="str">
        <f t="shared" si="16"/>
        <v/>
      </c>
      <c r="K80" s="192" t="str">
        <f t="shared" si="17"/>
        <v/>
      </c>
      <c r="L80" s="192" t="str">
        <f t="shared" si="18"/>
        <v/>
      </c>
      <c r="M80" s="192">
        <f t="shared" si="19"/>
        <v>0.5714285714285714</v>
      </c>
      <c r="N80" s="192">
        <f t="shared" si="20"/>
        <v>2</v>
      </c>
      <c r="O80" s="192" t="str">
        <f t="shared" si="21"/>
        <v/>
      </c>
      <c r="P80" s="192" t="str">
        <f t="shared" si="22"/>
        <v/>
      </c>
      <c r="Q80" s="192" t="str">
        <f t="shared" si="23"/>
        <v/>
      </c>
      <c r="R80" s="192">
        <f t="shared" si="24"/>
        <v>0.33333333333333331</v>
      </c>
      <c r="S80" s="192">
        <f t="shared" si="25"/>
        <v>2</v>
      </c>
      <c r="T80" s="192" t="str">
        <f t="shared" si="26"/>
        <v/>
      </c>
      <c r="U80" s="192" t="str">
        <f t="shared" si="27"/>
        <v/>
      </c>
      <c r="V80" s="192" t="str">
        <f t="shared" si="28"/>
        <v/>
      </c>
      <c r="W80" s="192">
        <f t="shared" si="29"/>
        <v>0.5</v>
      </c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</row>
    <row r="81" spans="4:42" ht="33.6" x14ac:dyDescent="0.3">
      <c r="D81" s="31">
        <f t="shared" si="10"/>
        <v>7</v>
      </c>
      <c r="E81" s="31" t="str">
        <f t="shared" si="11"/>
        <v/>
      </c>
      <c r="F81" s="31" t="str">
        <f t="shared" si="12"/>
        <v/>
      </c>
      <c r="G81" s="31" t="str">
        <f t="shared" si="13"/>
        <v/>
      </c>
      <c r="H81" s="193">
        <f t="shared" si="14"/>
        <v>0.63636363636363635</v>
      </c>
      <c r="I81" s="31">
        <f t="shared" si="15"/>
        <v>3</v>
      </c>
      <c r="J81" s="31" t="str">
        <f t="shared" si="16"/>
        <v/>
      </c>
      <c r="K81" s="31" t="str">
        <f t="shared" si="17"/>
        <v/>
      </c>
      <c r="L81" s="31" t="str">
        <f t="shared" si="18"/>
        <v/>
      </c>
      <c r="M81" s="193">
        <f t="shared" si="19"/>
        <v>0.42857142857142855</v>
      </c>
      <c r="N81" s="31">
        <f t="shared" si="20"/>
        <v>2</v>
      </c>
      <c r="O81" s="31" t="str">
        <f t="shared" si="21"/>
        <v/>
      </c>
      <c r="P81" s="31" t="str">
        <f t="shared" si="22"/>
        <v/>
      </c>
      <c r="Q81" s="31" t="str">
        <f t="shared" si="23"/>
        <v/>
      </c>
      <c r="R81" s="193">
        <f t="shared" si="24"/>
        <v>0.33333333333333331</v>
      </c>
      <c r="S81" s="31">
        <f t="shared" si="25"/>
        <v>4</v>
      </c>
      <c r="T81" s="31" t="str">
        <f t="shared" si="26"/>
        <v/>
      </c>
      <c r="U81" s="31" t="str">
        <f t="shared" si="27"/>
        <v/>
      </c>
      <c r="V81" s="31" t="str">
        <f t="shared" si="28"/>
        <v/>
      </c>
      <c r="W81" s="193">
        <f t="shared" si="29"/>
        <v>1</v>
      </c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</row>
    <row r="82" spans="4:42" ht="33.6" x14ac:dyDescent="0.3">
      <c r="D82" s="192">
        <f t="shared" si="10"/>
        <v>7</v>
      </c>
      <c r="E82" s="192" t="str">
        <f t="shared" si="11"/>
        <v/>
      </c>
      <c r="F82" s="192" t="str">
        <f t="shared" si="12"/>
        <v/>
      </c>
      <c r="G82" s="192" t="str">
        <f t="shared" si="13"/>
        <v/>
      </c>
      <c r="H82" s="194">
        <f t="shared" si="14"/>
        <v>0.63636363636363635</v>
      </c>
      <c r="I82" s="192">
        <f t="shared" si="15"/>
        <v>3</v>
      </c>
      <c r="J82" s="192" t="str">
        <f t="shared" si="16"/>
        <v/>
      </c>
      <c r="K82" s="192" t="str">
        <f t="shared" si="17"/>
        <v/>
      </c>
      <c r="L82" s="192" t="str">
        <f t="shared" si="18"/>
        <v/>
      </c>
      <c r="M82" s="192">
        <f t="shared" si="19"/>
        <v>0.42857142857142855</v>
      </c>
      <c r="N82" s="192">
        <f t="shared" si="20"/>
        <v>4</v>
      </c>
      <c r="O82" s="192" t="str">
        <f t="shared" si="21"/>
        <v/>
      </c>
      <c r="P82" s="192" t="str">
        <f t="shared" si="22"/>
        <v/>
      </c>
      <c r="Q82" s="192" t="str">
        <f t="shared" si="23"/>
        <v/>
      </c>
      <c r="R82" s="192">
        <f t="shared" si="24"/>
        <v>0.66666666666666663</v>
      </c>
      <c r="S82" s="192">
        <f t="shared" si="25"/>
        <v>2</v>
      </c>
      <c r="T82" s="192" t="str">
        <f t="shared" si="26"/>
        <v/>
      </c>
      <c r="U82" s="192" t="str">
        <f t="shared" si="27"/>
        <v/>
      </c>
      <c r="V82" s="192" t="str">
        <f t="shared" si="28"/>
        <v/>
      </c>
      <c r="W82" s="192">
        <f t="shared" si="29"/>
        <v>0.5</v>
      </c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</row>
    <row r="83" spans="4:42" ht="33.6" x14ac:dyDescent="0.3">
      <c r="D83" s="31">
        <f t="shared" si="10"/>
        <v>7</v>
      </c>
      <c r="E83" s="31" t="str">
        <f t="shared" si="11"/>
        <v/>
      </c>
      <c r="F83" s="31" t="str">
        <f t="shared" si="12"/>
        <v/>
      </c>
      <c r="G83" s="31" t="str">
        <f t="shared" si="13"/>
        <v/>
      </c>
      <c r="H83" s="193">
        <f t="shared" si="14"/>
        <v>0.63636363636363635</v>
      </c>
      <c r="I83" s="31">
        <f t="shared" si="15"/>
        <v>3</v>
      </c>
      <c r="J83" s="31" t="str">
        <f t="shared" si="16"/>
        <v/>
      </c>
      <c r="K83" s="31" t="str">
        <f t="shared" si="17"/>
        <v/>
      </c>
      <c r="L83" s="31" t="str">
        <f t="shared" si="18"/>
        <v/>
      </c>
      <c r="M83" s="193">
        <f t="shared" si="19"/>
        <v>0.42857142857142855</v>
      </c>
      <c r="N83" s="31">
        <f t="shared" si="20"/>
        <v>2</v>
      </c>
      <c r="O83" s="31" t="str">
        <f t="shared" si="21"/>
        <v/>
      </c>
      <c r="P83" s="31" t="str">
        <f t="shared" si="22"/>
        <v/>
      </c>
      <c r="Q83" s="31" t="str">
        <f t="shared" si="23"/>
        <v/>
      </c>
      <c r="R83" s="193">
        <f t="shared" si="24"/>
        <v>0.33333333333333331</v>
      </c>
      <c r="S83" s="31">
        <f t="shared" si="25"/>
        <v>2</v>
      </c>
      <c r="T83" s="31" t="str">
        <f t="shared" si="26"/>
        <v/>
      </c>
      <c r="U83" s="31" t="str">
        <f t="shared" si="27"/>
        <v/>
      </c>
      <c r="V83" s="31" t="str">
        <f t="shared" si="28"/>
        <v/>
      </c>
      <c r="W83" s="193">
        <f t="shared" si="29"/>
        <v>0.5</v>
      </c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</row>
    <row r="84" spans="4:42" ht="33.6" x14ac:dyDescent="0.3">
      <c r="D84" s="192">
        <f t="shared" si="10"/>
        <v>5</v>
      </c>
      <c r="E84" s="192" t="str">
        <f t="shared" si="11"/>
        <v/>
      </c>
      <c r="F84" s="192" t="str">
        <f t="shared" si="12"/>
        <v/>
      </c>
      <c r="G84" s="192" t="str">
        <f t="shared" si="13"/>
        <v/>
      </c>
      <c r="H84" s="194">
        <f t="shared" si="14"/>
        <v>0.45454545454545453</v>
      </c>
      <c r="I84" s="192">
        <f t="shared" si="15"/>
        <v>4</v>
      </c>
      <c r="J84" s="192" t="str">
        <f t="shared" si="16"/>
        <v/>
      </c>
      <c r="K84" s="192" t="str">
        <f t="shared" si="17"/>
        <v/>
      </c>
      <c r="L84" s="192" t="str">
        <f t="shared" si="18"/>
        <v/>
      </c>
      <c r="M84" s="192">
        <f t="shared" si="19"/>
        <v>0.5714285714285714</v>
      </c>
      <c r="N84" s="192">
        <f t="shared" si="20"/>
        <v>4</v>
      </c>
      <c r="O84" s="192" t="str">
        <f t="shared" si="21"/>
        <v/>
      </c>
      <c r="P84" s="192" t="str">
        <f t="shared" si="22"/>
        <v/>
      </c>
      <c r="Q84" s="192" t="str">
        <f t="shared" si="23"/>
        <v/>
      </c>
      <c r="R84" s="192">
        <f t="shared" si="24"/>
        <v>0.66666666666666663</v>
      </c>
      <c r="S84" s="192">
        <f t="shared" si="25"/>
        <v>3</v>
      </c>
      <c r="T84" s="192" t="str">
        <f t="shared" si="26"/>
        <v/>
      </c>
      <c r="U84" s="192" t="str">
        <f t="shared" si="27"/>
        <v/>
      </c>
      <c r="V84" s="192" t="str">
        <f t="shared" si="28"/>
        <v/>
      </c>
      <c r="W84" s="192">
        <f t="shared" si="29"/>
        <v>0.75</v>
      </c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</row>
    <row r="85" spans="4:42" ht="33.6" x14ac:dyDescent="0.3">
      <c r="D85" s="31">
        <f t="shared" si="10"/>
        <v>9</v>
      </c>
      <c r="E85" s="31" t="str">
        <f t="shared" si="11"/>
        <v/>
      </c>
      <c r="F85" s="31" t="str">
        <f t="shared" si="12"/>
        <v/>
      </c>
      <c r="G85" s="31" t="str">
        <f t="shared" si="13"/>
        <v/>
      </c>
      <c r="H85" s="193">
        <f t="shared" si="14"/>
        <v>0.81818181818181823</v>
      </c>
      <c r="I85" s="31">
        <f t="shared" si="15"/>
        <v>5</v>
      </c>
      <c r="J85" s="31" t="str">
        <f t="shared" si="16"/>
        <v/>
      </c>
      <c r="K85" s="31" t="str">
        <f t="shared" si="17"/>
        <v/>
      </c>
      <c r="L85" s="31" t="str">
        <f t="shared" si="18"/>
        <v/>
      </c>
      <c r="M85" s="193">
        <f t="shared" si="19"/>
        <v>0.7142857142857143</v>
      </c>
      <c r="N85" s="31">
        <f t="shared" si="20"/>
        <v>4</v>
      </c>
      <c r="O85" s="31" t="str">
        <f t="shared" si="21"/>
        <v/>
      </c>
      <c r="P85" s="31" t="str">
        <f t="shared" si="22"/>
        <v/>
      </c>
      <c r="Q85" s="31" t="str">
        <f t="shared" si="23"/>
        <v/>
      </c>
      <c r="R85" s="193">
        <f t="shared" si="24"/>
        <v>0.66666666666666663</v>
      </c>
      <c r="S85" s="31">
        <f t="shared" si="25"/>
        <v>3</v>
      </c>
      <c r="T85" s="31" t="str">
        <f t="shared" si="26"/>
        <v/>
      </c>
      <c r="U85" s="31" t="str">
        <f t="shared" si="27"/>
        <v/>
      </c>
      <c r="V85" s="31" t="str">
        <f t="shared" si="28"/>
        <v/>
      </c>
      <c r="W85" s="193">
        <f t="shared" si="29"/>
        <v>0.75</v>
      </c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</row>
    <row r="86" spans="4:42" ht="33.6" x14ac:dyDescent="0.3">
      <c r="D86" s="192">
        <f t="shared" si="10"/>
        <v>7</v>
      </c>
      <c r="E86" s="192" t="str">
        <f t="shared" si="11"/>
        <v/>
      </c>
      <c r="F86" s="192" t="str">
        <f t="shared" si="12"/>
        <v/>
      </c>
      <c r="G86" s="192" t="str">
        <f t="shared" si="13"/>
        <v/>
      </c>
      <c r="H86" s="194">
        <f t="shared" si="14"/>
        <v>0.63636363636363635</v>
      </c>
      <c r="I86" s="192">
        <f t="shared" si="15"/>
        <v>5</v>
      </c>
      <c r="J86" s="192" t="str">
        <f t="shared" si="16"/>
        <v/>
      </c>
      <c r="K86" s="192" t="str">
        <f t="shared" si="17"/>
        <v/>
      </c>
      <c r="L86" s="192" t="str">
        <f t="shared" si="18"/>
        <v/>
      </c>
      <c r="M86" s="192">
        <f t="shared" si="19"/>
        <v>0.7142857142857143</v>
      </c>
      <c r="N86" s="192">
        <f t="shared" si="20"/>
        <v>3</v>
      </c>
      <c r="O86" s="192" t="str">
        <f t="shared" si="21"/>
        <v/>
      </c>
      <c r="P86" s="192" t="str">
        <f t="shared" si="22"/>
        <v/>
      </c>
      <c r="Q86" s="192" t="str">
        <f t="shared" si="23"/>
        <v/>
      </c>
      <c r="R86" s="192">
        <f t="shared" si="24"/>
        <v>0.5</v>
      </c>
      <c r="S86" s="192">
        <f t="shared" si="25"/>
        <v>4</v>
      </c>
      <c r="T86" s="192" t="str">
        <f t="shared" si="26"/>
        <v/>
      </c>
      <c r="U86" s="192" t="str">
        <f t="shared" si="27"/>
        <v/>
      </c>
      <c r="V86" s="192" t="str">
        <f t="shared" si="28"/>
        <v/>
      </c>
      <c r="W86" s="192">
        <f t="shared" si="29"/>
        <v>1</v>
      </c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</row>
    <row r="87" spans="4:42" ht="33.6" x14ac:dyDescent="0.3">
      <c r="D87" s="31">
        <f t="shared" si="10"/>
        <v>6</v>
      </c>
      <c r="E87" s="31" t="str">
        <f t="shared" si="11"/>
        <v/>
      </c>
      <c r="F87" s="31" t="str">
        <f t="shared" si="12"/>
        <v/>
      </c>
      <c r="G87" s="31" t="str">
        <f t="shared" si="13"/>
        <v/>
      </c>
      <c r="H87" s="193">
        <f t="shared" si="14"/>
        <v>0.54545454545454541</v>
      </c>
      <c r="I87" s="31">
        <f t="shared" si="15"/>
        <v>3</v>
      </c>
      <c r="J87" s="31" t="str">
        <f t="shared" si="16"/>
        <v/>
      </c>
      <c r="K87" s="31" t="str">
        <f t="shared" si="17"/>
        <v/>
      </c>
      <c r="L87" s="31" t="str">
        <f t="shared" si="18"/>
        <v/>
      </c>
      <c r="M87" s="193">
        <f t="shared" si="19"/>
        <v>0.42857142857142855</v>
      </c>
      <c r="N87" s="31">
        <f t="shared" si="20"/>
        <v>3</v>
      </c>
      <c r="O87" s="31" t="str">
        <f t="shared" si="21"/>
        <v/>
      </c>
      <c r="P87" s="31" t="str">
        <f t="shared" si="22"/>
        <v/>
      </c>
      <c r="Q87" s="31" t="str">
        <f t="shared" si="23"/>
        <v/>
      </c>
      <c r="R87" s="193">
        <f t="shared" si="24"/>
        <v>0.5</v>
      </c>
      <c r="S87" s="31">
        <f t="shared" si="25"/>
        <v>3</v>
      </c>
      <c r="T87" s="31" t="str">
        <f t="shared" si="26"/>
        <v/>
      </c>
      <c r="U87" s="31" t="str">
        <f t="shared" si="27"/>
        <v/>
      </c>
      <c r="V87" s="31" t="str">
        <f t="shared" si="28"/>
        <v/>
      </c>
      <c r="W87" s="193">
        <f t="shared" si="29"/>
        <v>0.75</v>
      </c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</row>
    <row r="88" spans="4:42" ht="33.6" x14ac:dyDescent="0.3">
      <c r="D88" s="192">
        <f t="shared" si="10"/>
        <v>6</v>
      </c>
      <c r="E88" s="192" t="str">
        <f t="shared" si="11"/>
        <v/>
      </c>
      <c r="F88" s="192" t="str">
        <f t="shared" si="12"/>
        <v/>
      </c>
      <c r="G88" s="192" t="str">
        <f t="shared" si="13"/>
        <v/>
      </c>
      <c r="H88" s="194">
        <f t="shared" si="14"/>
        <v>0.54545454545454541</v>
      </c>
      <c r="I88" s="192">
        <f t="shared" si="15"/>
        <v>5</v>
      </c>
      <c r="J88" s="192" t="str">
        <f t="shared" si="16"/>
        <v/>
      </c>
      <c r="K88" s="192" t="str">
        <f t="shared" si="17"/>
        <v/>
      </c>
      <c r="L88" s="192" t="str">
        <f t="shared" si="18"/>
        <v/>
      </c>
      <c r="M88" s="192">
        <f t="shared" si="19"/>
        <v>0.7142857142857143</v>
      </c>
      <c r="N88" s="192">
        <f t="shared" si="20"/>
        <v>1</v>
      </c>
      <c r="O88" s="192" t="str">
        <f t="shared" si="21"/>
        <v/>
      </c>
      <c r="P88" s="192" t="str">
        <f t="shared" si="22"/>
        <v/>
      </c>
      <c r="Q88" s="192" t="str">
        <f t="shared" si="23"/>
        <v/>
      </c>
      <c r="R88" s="192">
        <f t="shared" si="24"/>
        <v>0.16666666666666666</v>
      </c>
      <c r="S88" s="192">
        <f t="shared" si="25"/>
        <v>3</v>
      </c>
      <c r="T88" s="192" t="str">
        <f t="shared" si="26"/>
        <v/>
      </c>
      <c r="U88" s="192" t="str">
        <f t="shared" si="27"/>
        <v/>
      </c>
      <c r="V88" s="192" t="str">
        <f t="shared" si="28"/>
        <v/>
      </c>
      <c r="W88" s="192">
        <f t="shared" si="29"/>
        <v>0.75</v>
      </c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</row>
    <row r="89" spans="4:42" ht="33.6" x14ac:dyDescent="0.3">
      <c r="D89" s="31">
        <f t="shared" si="10"/>
        <v>5</v>
      </c>
      <c r="E89" s="31" t="str">
        <f t="shared" si="11"/>
        <v/>
      </c>
      <c r="F89" s="31" t="str">
        <f t="shared" si="12"/>
        <v/>
      </c>
      <c r="G89" s="31" t="str">
        <f t="shared" si="13"/>
        <v/>
      </c>
      <c r="H89" s="193">
        <f t="shared" si="14"/>
        <v>0.45454545454545453</v>
      </c>
      <c r="I89" s="31">
        <f t="shared" si="15"/>
        <v>4</v>
      </c>
      <c r="J89" s="31" t="str">
        <f t="shared" si="16"/>
        <v/>
      </c>
      <c r="K89" s="31" t="str">
        <f t="shared" si="17"/>
        <v/>
      </c>
      <c r="L89" s="31" t="str">
        <f t="shared" si="18"/>
        <v/>
      </c>
      <c r="M89" s="193">
        <f t="shared" si="19"/>
        <v>0.5714285714285714</v>
      </c>
      <c r="N89" s="31">
        <f t="shared" si="20"/>
        <v>2</v>
      </c>
      <c r="O89" s="31" t="str">
        <f t="shared" si="21"/>
        <v/>
      </c>
      <c r="P89" s="31" t="str">
        <f t="shared" si="22"/>
        <v/>
      </c>
      <c r="Q89" s="31" t="str">
        <f t="shared" si="23"/>
        <v/>
      </c>
      <c r="R89" s="193">
        <f t="shared" si="24"/>
        <v>0.33333333333333331</v>
      </c>
      <c r="S89" s="31">
        <f t="shared" si="25"/>
        <v>2</v>
      </c>
      <c r="T89" s="31" t="str">
        <f t="shared" si="26"/>
        <v/>
      </c>
      <c r="U89" s="31" t="str">
        <f t="shared" si="27"/>
        <v/>
      </c>
      <c r="V89" s="31" t="str">
        <f t="shared" si="28"/>
        <v/>
      </c>
      <c r="W89" s="193">
        <f t="shared" si="29"/>
        <v>0.5</v>
      </c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</row>
    <row r="90" spans="4:42" ht="33.6" x14ac:dyDescent="0.3">
      <c r="D90" s="192">
        <f t="shared" si="10"/>
        <v>10</v>
      </c>
      <c r="E90" s="192" t="str">
        <f t="shared" si="11"/>
        <v/>
      </c>
      <c r="F90" s="192" t="str">
        <f t="shared" si="12"/>
        <v/>
      </c>
      <c r="G90" s="192" t="str">
        <f t="shared" si="13"/>
        <v/>
      </c>
      <c r="H90" s="194">
        <f t="shared" si="14"/>
        <v>0.90909090909090906</v>
      </c>
      <c r="I90" s="192">
        <f t="shared" si="15"/>
        <v>7</v>
      </c>
      <c r="J90" s="192" t="str">
        <f t="shared" si="16"/>
        <v/>
      </c>
      <c r="K90" s="192" t="str">
        <f t="shared" si="17"/>
        <v/>
      </c>
      <c r="L90" s="192" t="str">
        <f t="shared" si="18"/>
        <v/>
      </c>
      <c r="M90" s="192">
        <f t="shared" si="19"/>
        <v>1</v>
      </c>
      <c r="N90" s="192">
        <f t="shared" si="20"/>
        <v>4</v>
      </c>
      <c r="O90" s="192" t="str">
        <f t="shared" si="21"/>
        <v/>
      </c>
      <c r="P90" s="192" t="str">
        <f t="shared" si="22"/>
        <v/>
      </c>
      <c r="Q90" s="192" t="str">
        <f t="shared" si="23"/>
        <v/>
      </c>
      <c r="R90" s="192">
        <f t="shared" si="24"/>
        <v>0.66666666666666663</v>
      </c>
      <c r="S90" s="192">
        <f t="shared" si="25"/>
        <v>4</v>
      </c>
      <c r="T90" s="192" t="str">
        <f t="shared" si="26"/>
        <v/>
      </c>
      <c r="U90" s="192" t="str">
        <f t="shared" si="27"/>
        <v/>
      </c>
      <c r="V90" s="192" t="str">
        <f t="shared" si="28"/>
        <v/>
      </c>
      <c r="W90" s="192">
        <f t="shared" si="29"/>
        <v>1</v>
      </c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</row>
    <row r="91" spans="4:42" ht="33.6" x14ac:dyDescent="0.3">
      <c r="D91" s="31">
        <f t="shared" si="10"/>
        <v>4</v>
      </c>
      <c r="E91" s="31" t="str">
        <f t="shared" si="11"/>
        <v/>
      </c>
      <c r="F91" s="31" t="str">
        <f t="shared" si="12"/>
        <v/>
      </c>
      <c r="G91" s="31" t="str">
        <f t="shared" si="13"/>
        <v/>
      </c>
      <c r="H91" s="193">
        <f t="shared" si="14"/>
        <v>0.36363636363636365</v>
      </c>
      <c r="I91" s="31">
        <f t="shared" si="15"/>
        <v>4</v>
      </c>
      <c r="J91" s="31" t="str">
        <f t="shared" si="16"/>
        <v/>
      </c>
      <c r="K91" s="31" t="str">
        <f t="shared" si="17"/>
        <v/>
      </c>
      <c r="L91" s="31" t="str">
        <f t="shared" si="18"/>
        <v/>
      </c>
      <c r="M91" s="193">
        <f t="shared" si="19"/>
        <v>0.5714285714285714</v>
      </c>
      <c r="N91" s="31">
        <f t="shared" si="20"/>
        <v>1</v>
      </c>
      <c r="O91" s="31" t="str">
        <f t="shared" si="21"/>
        <v/>
      </c>
      <c r="P91" s="31" t="str">
        <f t="shared" si="22"/>
        <v/>
      </c>
      <c r="Q91" s="31" t="str">
        <f t="shared" si="23"/>
        <v/>
      </c>
      <c r="R91" s="193">
        <f t="shared" si="24"/>
        <v>0.16666666666666666</v>
      </c>
      <c r="S91" s="31">
        <f t="shared" si="25"/>
        <v>2</v>
      </c>
      <c r="T91" s="31" t="str">
        <f t="shared" si="26"/>
        <v/>
      </c>
      <c r="U91" s="31" t="str">
        <f t="shared" si="27"/>
        <v/>
      </c>
      <c r="V91" s="31" t="str">
        <f t="shared" si="28"/>
        <v/>
      </c>
      <c r="W91" s="193">
        <f t="shared" si="29"/>
        <v>0.5</v>
      </c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</row>
    <row r="92" spans="4:42" ht="33.6" x14ac:dyDescent="0.3">
      <c r="D92" s="192">
        <f t="shared" si="10"/>
        <v>10</v>
      </c>
      <c r="E92" s="192" t="str">
        <f t="shared" si="11"/>
        <v/>
      </c>
      <c r="F92" s="192" t="str">
        <f t="shared" si="12"/>
        <v/>
      </c>
      <c r="G92" s="192" t="str">
        <f t="shared" si="13"/>
        <v/>
      </c>
      <c r="H92" s="194">
        <f t="shared" si="14"/>
        <v>0.90909090909090906</v>
      </c>
      <c r="I92" s="192">
        <f t="shared" si="15"/>
        <v>6</v>
      </c>
      <c r="J92" s="192" t="str">
        <f t="shared" si="16"/>
        <v/>
      </c>
      <c r="K92" s="192" t="str">
        <f t="shared" si="17"/>
        <v/>
      </c>
      <c r="L92" s="192" t="str">
        <f t="shared" si="18"/>
        <v/>
      </c>
      <c r="M92" s="192">
        <f t="shared" si="19"/>
        <v>0.8571428571428571</v>
      </c>
      <c r="N92" s="192">
        <f t="shared" si="20"/>
        <v>5</v>
      </c>
      <c r="O92" s="192" t="str">
        <f t="shared" si="21"/>
        <v/>
      </c>
      <c r="P92" s="192" t="str">
        <f t="shared" si="22"/>
        <v/>
      </c>
      <c r="Q92" s="192" t="str">
        <f t="shared" si="23"/>
        <v/>
      </c>
      <c r="R92" s="192">
        <f t="shared" si="24"/>
        <v>0.83333333333333337</v>
      </c>
      <c r="S92" s="192">
        <f t="shared" si="25"/>
        <v>3</v>
      </c>
      <c r="T92" s="192" t="str">
        <f t="shared" si="26"/>
        <v/>
      </c>
      <c r="U92" s="192" t="str">
        <f t="shared" si="27"/>
        <v/>
      </c>
      <c r="V92" s="192" t="str">
        <f t="shared" si="28"/>
        <v/>
      </c>
      <c r="W92" s="192">
        <f t="shared" si="29"/>
        <v>0.75</v>
      </c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</row>
    <row r="93" spans="4:42" ht="33.6" x14ac:dyDescent="0.3">
      <c r="D93" s="31">
        <f t="shared" si="10"/>
        <v>7</v>
      </c>
      <c r="E93" s="31" t="str">
        <f t="shared" si="11"/>
        <v/>
      </c>
      <c r="F93" s="31" t="str">
        <f t="shared" si="12"/>
        <v/>
      </c>
      <c r="G93" s="31" t="str">
        <f t="shared" si="13"/>
        <v/>
      </c>
      <c r="H93" s="193">
        <f t="shared" si="14"/>
        <v>0.63636363636363635</v>
      </c>
      <c r="I93" s="31">
        <f t="shared" si="15"/>
        <v>7</v>
      </c>
      <c r="J93" s="31" t="str">
        <f t="shared" si="16"/>
        <v/>
      </c>
      <c r="K93" s="31" t="str">
        <f t="shared" si="17"/>
        <v/>
      </c>
      <c r="L93" s="31" t="str">
        <f t="shared" si="18"/>
        <v/>
      </c>
      <c r="M93" s="193">
        <f t="shared" si="19"/>
        <v>1</v>
      </c>
      <c r="N93" s="31">
        <f t="shared" si="20"/>
        <v>2</v>
      </c>
      <c r="O93" s="31" t="str">
        <f t="shared" si="21"/>
        <v/>
      </c>
      <c r="P93" s="31" t="str">
        <f t="shared" si="22"/>
        <v/>
      </c>
      <c r="Q93" s="31" t="str">
        <f t="shared" si="23"/>
        <v/>
      </c>
      <c r="R93" s="193">
        <f t="shared" si="24"/>
        <v>0.33333333333333331</v>
      </c>
      <c r="S93" s="31">
        <f t="shared" si="25"/>
        <v>3</v>
      </c>
      <c r="T93" s="31" t="str">
        <f t="shared" si="26"/>
        <v/>
      </c>
      <c r="U93" s="31" t="str">
        <f t="shared" si="27"/>
        <v/>
      </c>
      <c r="V93" s="31" t="str">
        <f t="shared" si="28"/>
        <v/>
      </c>
      <c r="W93" s="193">
        <f t="shared" si="29"/>
        <v>0.75</v>
      </c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</row>
    <row r="94" spans="4:42" ht="33.6" x14ac:dyDescent="0.3">
      <c r="D94" s="192">
        <f t="shared" si="10"/>
        <v>10</v>
      </c>
      <c r="E94" s="192" t="str">
        <f t="shared" si="11"/>
        <v/>
      </c>
      <c r="F94" s="192" t="str">
        <f t="shared" si="12"/>
        <v/>
      </c>
      <c r="G94" s="192" t="str">
        <f t="shared" si="13"/>
        <v/>
      </c>
      <c r="H94" s="194">
        <f t="shared" si="14"/>
        <v>0.90909090909090906</v>
      </c>
      <c r="I94" s="192">
        <f t="shared" si="15"/>
        <v>6</v>
      </c>
      <c r="J94" s="192" t="str">
        <f t="shared" si="16"/>
        <v/>
      </c>
      <c r="K94" s="192" t="str">
        <f t="shared" si="17"/>
        <v/>
      </c>
      <c r="L94" s="192" t="str">
        <f t="shared" si="18"/>
        <v/>
      </c>
      <c r="M94" s="192">
        <f t="shared" si="19"/>
        <v>0.8571428571428571</v>
      </c>
      <c r="N94" s="192">
        <f t="shared" si="20"/>
        <v>5</v>
      </c>
      <c r="O94" s="192" t="str">
        <f t="shared" si="21"/>
        <v/>
      </c>
      <c r="P94" s="192" t="str">
        <f t="shared" si="22"/>
        <v/>
      </c>
      <c r="Q94" s="192" t="str">
        <f t="shared" si="23"/>
        <v/>
      </c>
      <c r="R94" s="192">
        <f t="shared" si="24"/>
        <v>0.83333333333333337</v>
      </c>
      <c r="S94" s="192">
        <f t="shared" si="25"/>
        <v>2</v>
      </c>
      <c r="T94" s="192" t="str">
        <f t="shared" si="26"/>
        <v/>
      </c>
      <c r="U94" s="192" t="str">
        <f t="shared" si="27"/>
        <v/>
      </c>
      <c r="V94" s="192" t="str">
        <f t="shared" si="28"/>
        <v/>
      </c>
      <c r="W94" s="192">
        <f t="shared" si="29"/>
        <v>0.5</v>
      </c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</row>
    <row r="95" spans="4:42" ht="33.6" x14ac:dyDescent="0.3">
      <c r="D95" s="31">
        <f t="shared" si="10"/>
        <v>10</v>
      </c>
      <c r="E95" s="31" t="str">
        <f t="shared" si="11"/>
        <v/>
      </c>
      <c r="F95" s="31" t="str">
        <f t="shared" si="12"/>
        <v/>
      </c>
      <c r="G95" s="31" t="str">
        <f t="shared" si="13"/>
        <v/>
      </c>
      <c r="H95" s="193">
        <f t="shared" si="14"/>
        <v>0.90909090909090906</v>
      </c>
      <c r="I95" s="31">
        <f t="shared" si="15"/>
        <v>7</v>
      </c>
      <c r="J95" s="31" t="str">
        <f t="shared" si="16"/>
        <v/>
      </c>
      <c r="K95" s="31" t="str">
        <f t="shared" si="17"/>
        <v/>
      </c>
      <c r="L95" s="31" t="str">
        <f t="shared" si="18"/>
        <v/>
      </c>
      <c r="M95" s="193">
        <f t="shared" si="19"/>
        <v>1</v>
      </c>
      <c r="N95" s="31">
        <f t="shared" si="20"/>
        <v>5</v>
      </c>
      <c r="O95" s="31" t="str">
        <f t="shared" si="21"/>
        <v/>
      </c>
      <c r="P95" s="31" t="str">
        <f t="shared" si="22"/>
        <v/>
      </c>
      <c r="Q95" s="31" t="str">
        <f t="shared" si="23"/>
        <v/>
      </c>
      <c r="R95" s="193">
        <f t="shared" si="24"/>
        <v>0.83333333333333337</v>
      </c>
      <c r="S95" s="31">
        <f t="shared" si="25"/>
        <v>4</v>
      </c>
      <c r="T95" s="31" t="str">
        <f t="shared" si="26"/>
        <v/>
      </c>
      <c r="U95" s="31" t="str">
        <f t="shared" si="27"/>
        <v/>
      </c>
      <c r="V95" s="31" t="str">
        <f t="shared" si="28"/>
        <v/>
      </c>
      <c r="W95" s="193">
        <f t="shared" si="29"/>
        <v>1</v>
      </c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</row>
    <row r="96" spans="4:42" ht="33.6" x14ac:dyDescent="0.3">
      <c r="D96" s="192">
        <f t="shared" si="10"/>
        <v>3</v>
      </c>
      <c r="E96" s="192" t="str">
        <f t="shared" si="11"/>
        <v/>
      </c>
      <c r="F96" s="192" t="str">
        <f t="shared" si="12"/>
        <v/>
      </c>
      <c r="G96" s="192" t="str">
        <f t="shared" si="13"/>
        <v/>
      </c>
      <c r="H96" s="194">
        <f t="shared" si="14"/>
        <v>0.27272727272727271</v>
      </c>
      <c r="I96" s="192">
        <f t="shared" si="15"/>
        <v>2</v>
      </c>
      <c r="J96" s="192" t="str">
        <f t="shared" si="16"/>
        <v/>
      </c>
      <c r="K96" s="192" t="str">
        <f t="shared" si="17"/>
        <v/>
      </c>
      <c r="L96" s="192" t="str">
        <f t="shared" si="18"/>
        <v/>
      </c>
      <c r="M96" s="192">
        <f t="shared" si="19"/>
        <v>0.2857142857142857</v>
      </c>
      <c r="N96" s="192">
        <f t="shared" si="20"/>
        <v>2</v>
      </c>
      <c r="O96" s="192" t="str">
        <f t="shared" si="21"/>
        <v/>
      </c>
      <c r="P96" s="192" t="str">
        <f t="shared" si="22"/>
        <v/>
      </c>
      <c r="Q96" s="192" t="str">
        <f t="shared" si="23"/>
        <v/>
      </c>
      <c r="R96" s="192">
        <f t="shared" si="24"/>
        <v>0.33333333333333331</v>
      </c>
      <c r="S96" s="192">
        <f t="shared" si="25"/>
        <v>1</v>
      </c>
      <c r="T96" s="192" t="str">
        <f t="shared" si="26"/>
        <v/>
      </c>
      <c r="U96" s="192" t="str">
        <f t="shared" si="27"/>
        <v/>
      </c>
      <c r="V96" s="192" t="str">
        <f t="shared" si="28"/>
        <v/>
      </c>
      <c r="W96" s="192">
        <f t="shared" si="29"/>
        <v>0.25</v>
      </c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</row>
    <row r="97" spans="4:42" ht="33.6" x14ac:dyDescent="0.3">
      <c r="D97" s="31">
        <f t="shared" si="10"/>
        <v>6</v>
      </c>
      <c r="E97" s="31" t="str">
        <f t="shared" si="11"/>
        <v/>
      </c>
      <c r="F97" s="31" t="str">
        <f t="shared" si="12"/>
        <v/>
      </c>
      <c r="G97" s="31" t="str">
        <f t="shared" si="13"/>
        <v/>
      </c>
      <c r="H97" s="193">
        <f t="shared" si="14"/>
        <v>0.54545454545454541</v>
      </c>
      <c r="I97" s="31">
        <f t="shared" si="15"/>
        <v>4</v>
      </c>
      <c r="J97" s="31" t="str">
        <f t="shared" si="16"/>
        <v/>
      </c>
      <c r="K97" s="31" t="str">
        <f t="shared" si="17"/>
        <v/>
      </c>
      <c r="L97" s="31" t="str">
        <f t="shared" si="18"/>
        <v/>
      </c>
      <c r="M97" s="193">
        <f t="shared" si="19"/>
        <v>0.5714285714285714</v>
      </c>
      <c r="N97" s="31">
        <f t="shared" si="20"/>
        <v>3</v>
      </c>
      <c r="O97" s="31" t="str">
        <f t="shared" si="21"/>
        <v/>
      </c>
      <c r="P97" s="31" t="str">
        <f t="shared" si="22"/>
        <v/>
      </c>
      <c r="Q97" s="31" t="str">
        <f t="shared" si="23"/>
        <v/>
      </c>
      <c r="R97" s="193">
        <f t="shared" si="24"/>
        <v>0.5</v>
      </c>
      <c r="S97" s="31">
        <f t="shared" si="25"/>
        <v>2</v>
      </c>
      <c r="T97" s="31" t="str">
        <f t="shared" si="26"/>
        <v/>
      </c>
      <c r="U97" s="31" t="str">
        <f t="shared" si="27"/>
        <v/>
      </c>
      <c r="V97" s="31" t="str">
        <f t="shared" si="28"/>
        <v/>
      </c>
      <c r="W97" s="193">
        <f t="shared" si="29"/>
        <v>0.5</v>
      </c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</row>
    <row r="98" spans="4:42" ht="33.6" x14ac:dyDescent="0.3">
      <c r="D98" s="192">
        <f t="shared" si="10"/>
        <v>5</v>
      </c>
      <c r="E98" s="192" t="str">
        <f t="shared" si="11"/>
        <v/>
      </c>
      <c r="F98" s="192" t="str">
        <f t="shared" si="12"/>
        <v/>
      </c>
      <c r="G98" s="192" t="str">
        <f t="shared" si="13"/>
        <v/>
      </c>
      <c r="H98" s="194">
        <f t="shared" si="14"/>
        <v>0.45454545454545453</v>
      </c>
      <c r="I98" s="192">
        <f t="shared" si="15"/>
        <v>3</v>
      </c>
      <c r="J98" s="192" t="str">
        <f t="shared" si="16"/>
        <v/>
      </c>
      <c r="K98" s="192" t="str">
        <f t="shared" si="17"/>
        <v/>
      </c>
      <c r="L98" s="192" t="str">
        <f t="shared" si="18"/>
        <v/>
      </c>
      <c r="M98" s="192">
        <f t="shared" si="19"/>
        <v>0.42857142857142855</v>
      </c>
      <c r="N98" s="192">
        <f t="shared" si="20"/>
        <v>2</v>
      </c>
      <c r="O98" s="192" t="str">
        <f t="shared" si="21"/>
        <v/>
      </c>
      <c r="P98" s="192" t="str">
        <f t="shared" si="22"/>
        <v/>
      </c>
      <c r="Q98" s="192" t="str">
        <f t="shared" si="23"/>
        <v/>
      </c>
      <c r="R98" s="192">
        <f t="shared" si="24"/>
        <v>0.33333333333333331</v>
      </c>
      <c r="S98" s="192">
        <f t="shared" si="25"/>
        <v>4</v>
      </c>
      <c r="T98" s="192" t="str">
        <f t="shared" si="26"/>
        <v/>
      </c>
      <c r="U98" s="192" t="str">
        <f t="shared" si="27"/>
        <v/>
      </c>
      <c r="V98" s="192" t="str">
        <f t="shared" si="28"/>
        <v/>
      </c>
      <c r="W98" s="192">
        <f t="shared" si="29"/>
        <v>1</v>
      </c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</row>
    <row r="99" spans="4:42" ht="33.6" x14ac:dyDescent="0.3">
      <c r="D99" s="31">
        <f t="shared" si="10"/>
        <v>9</v>
      </c>
      <c r="E99" s="31" t="str">
        <f t="shared" si="11"/>
        <v/>
      </c>
      <c r="F99" s="31" t="str">
        <f t="shared" si="12"/>
        <v/>
      </c>
      <c r="G99" s="31" t="str">
        <f t="shared" si="13"/>
        <v/>
      </c>
      <c r="H99" s="193">
        <f t="shared" si="14"/>
        <v>0.81818181818181823</v>
      </c>
      <c r="I99" s="31">
        <f t="shared" si="15"/>
        <v>5</v>
      </c>
      <c r="J99" s="31" t="str">
        <f t="shared" si="16"/>
        <v/>
      </c>
      <c r="K99" s="31" t="str">
        <f t="shared" si="17"/>
        <v/>
      </c>
      <c r="L99" s="31" t="str">
        <f t="shared" si="18"/>
        <v/>
      </c>
      <c r="M99" s="193">
        <f t="shared" si="19"/>
        <v>0.7142857142857143</v>
      </c>
      <c r="N99" s="31">
        <f t="shared" si="20"/>
        <v>5</v>
      </c>
      <c r="O99" s="31" t="str">
        <f t="shared" si="21"/>
        <v/>
      </c>
      <c r="P99" s="31" t="str">
        <f t="shared" si="22"/>
        <v/>
      </c>
      <c r="Q99" s="31" t="str">
        <f t="shared" si="23"/>
        <v/>
      </c>
      <c r="R99" s="193">
        <f t="shared" si="24"/>
        <v>0.83333333333333337</v>
      </c>
      <c r="S99" s="31">
        <f t="shared" si="25"/>
        <v>2</v>
      </c>
      <c r="T99" s="31" t="str">
        <f t="shared" si="26"/>
        <v/>
      </c>
      <c r="U99" s="31" t="str">
        <f t="shared" si="27"/>
        <v/>
      </c>
      <c r="V99" s="31" t="str">
        <f t="shared" si="28"/>
        <v/>
      </c>
      <c r="W99" s="193">
        <f t="shared" si="29"/>
        <v>0.5</v>
      </c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</row>
    <row r="100" spans="4:42" ht="33.6" x14ac:dyDescent="0.3">
      <c r="D100" s="192">
        <f t="shared" si="10"/>
        <v>5</v>
      </c>
      <c r="E100" s="192" t="str">
        <f t="shared" si="11"/>
        <v/>
      </c>
      <c r="F100" s="192" t="str">
        <f t="shared" si="12"/>
        <v/>
      </c>
      <c r="G100" s="192" t="str">
        <f t="shared" si="13"/>
        <v/>
      </c>
      <c r="H100" s="194">
        <f t="shared" si="14"/>
        <v>0.45454545454545453</v>
      </c>
      <c r="I100" s="192">
        <f t="shared" si="15"/>
        <v>3</v>
      </c>
      <c r="J100" s="192" t="str">
        <f t="shared" si="16"/>
        <v/>
      </c>
      <c r="K100" s="192" t="str">
        <f t="shared" si="17"/>
        <v/>
      </c>
      <c r="L100" s="192" t="str">
        <f t="shared" si="18"/>
        <v/>
      </c>
      <c r="M100" s="192">
        <f t="shared" si="19"/>
        <v>0.42857142857142855</v>
      </c>
      <c r="N100" s="192">
        <f t="shared" si="20"/>
        <v>2</v>
      </c>
      <c r="O100" s="192" t="str">
        <f t="shared" si="21"/>
        <v/>
      </c>
      <c r="P100" s="192" t="str">
        <f t="shared" si="22"/>
        <v/>
      </c>
      <c r="Q100" s="192" t="str">
        <f t="shared" si="23"/>
        <v/>
      </c>
      <c r="R100" s="192">
        <f t="shared" si="24"/>
        <v>0.33333333333333331</v>
      </c>
      <c r="S100" s="192">
        <f t="shared" si="25"/>
        <v>2</v>
      </c>
      <c r="T100" s="192" t="str">
        <f t="shared" si="26"/>
        <v/>
      </c>
      <c r="U100" s="192" t="str">
        <f t="shared" si="27"/>
        <v/>
      </c>
      <c r="V100" s="192" t="str">
        <f t="shared" si="28"/>
        <v/>
      </c>
      <c r="W100" s="192">
        <f t="shared" si="29"/>
        <v>0.5</v>
      </c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</row>
    <row r="101" spans="4:42" ht="33.6" x14ac:dyDescent="0.3">
      <c r="D101" s="31">
        <f t="shared" si="10"/>
        <v>6</v>
      </c>
      <c r="E101" s="31" t="str">
        <f t="shared" si="11"/>
        <v/>
      </c>
      <c r="F101" s="31" t="str">
        <f t="shared" si="12"/>
        <v/>
      </c>
      <c r="G101" s="31" t="str">
        <f t="shared" si="13"/>
        <v/>
      </c>
      <c r="H101" s="193">
        <f t="shared" si="14"/>
        <v>0.54545454545454541</v>
      </c>
      <c r="I101" s="31">
        <f t="shared" si="15"/>
        <v>4</v>
      </c>
      <c r="J101" s="31" t="str">
        <f t="shared" si="16"/>
        <v/>
      </c>
      <c r="K101" s="31" t="str">
        <f t="shared" si="17"/>
        <v/>
      </c>
      <c r="L101" s="31" t="str">
        <f t="shared" si="18"/>
        <v/>
      </c>
      <c r="M101" s="193">
        <f t="shared" si="19"/>
        <v>0.5714285714285714</v>
      </c>
      <c r="N101" s="31">
        <f t="shared" si="20"/>
        <v>3</v>
      </c>
      <c r="O101" s="31" t="str">
        <f t="shared" si="21"/>
        <v/>
      </c>
      <c r="P101" s="31" t="str">
        <f t="shared" si="22"/>
        <v/>
      </c>
      <c r="Q101" s="31" t="str">
        <f t="shared" si="23"/>
        <v/>
      </c>
      <c r="R101" s="193">
        <f t="shared" si="24"/>
        <v>0.5</v>
      </c>
      <c r="S101" s="31">
        <f t="shared" si="25"/>
        <v>3</v>
      </c>
      <c r="T101" s="31" t="str">
        <f t="shared" si="26"/>
        <v/>
      </c>
      <c r="U101" s="31" t="str">
        <f t="shared" si="27"/>
        <v/>
      </c>
      <c r="V101" s="31" t="str">
        <f t="shared" si="28"/>
        <v/>
      </c>
      <c r="W101" s="193">
        <f t="shared" si="29"/>
        <v>0.75</v>
      </c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</row>
    <row r="102" spans="4:42" ht="33.6" x14ac:dyDescent="0.3">
      <c r="D102" s="192">
        <f t="shared" si="10"/>
        <v>9</v>
      </c>
      <c r="E102" s="192" t="str">
        <f t="shared" si="11"/>
        <v/>
      </c>
      <c r="F102" s="192" t="str">
        <f t="shared" si="12"/>
        <v/>
      </c>
      <c r="G102" s="192" t="str">
        <f t="shared" si="13"/>
        <v/>
      </c>
      <c r="H102" s="194">
        <f t="shared" si="14"/>
        <v>0.81818181818181823</v>
      </c>
      <c r="I102" s="192">
        <f t="shared" si="15"/>
        <v>6</v>
      </c>
      <c r="J102" s="192" t="str">
        <f t="shared" si="16"/>
        <v/>
      </c>
      <c r="K102" s="192" t="str">
        <f t="shared" si="17"/>
        <v/>
      </c>
      <c r="L102" s="192" t="str">
        <f t="shared" si="18"/>
        <v/>
      </c>
      <c r="M102" s="192">
        <f t="shared" si="19"/>
        <v>0.8571428571428571</v>
      </c>
      <c r="N102" s="192">
        <f t="shared" si="20"/>
        <v>5</v>
      </c>
      <c r="O102" s="192" t="str">
        <f t="shared" si="21"/>
        <v/>
      </c>
      <c r="P102" s="192" t="str">
        <f t="shared" si="22"/>
        <v/>
      </c>
      <c r="Q102" s="192" t="str">
        <f t="shared" si="23"/>
        <v/>
      </c>
      <c r="R102" s="192">
        <f t="shared" si="24"/>
        <v>0.83333333333333337</v>
      </c>
      <c r="S102" s="192">
        <f t="shared" si="25"/>
        <v>4</v>
      </c>
      <c r="T102" s="192" t="str">
        <f t="shared" si="26"/>
        <v/>
      </c>
      <c r="U102" s="192" t="str">
        <f t="shared" si="27"/>
        <v/>
      </c>
      <c r="V102" s="192" t="str">
        <f t="shared" si="28"/>
        <v/>
      </c>
      <c r="W102" s="192">
        <f t="shared" si="29"/>
        <v>1</v>
      </c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</row>
    <row r="103" spans="4:42" ht="33.6" x14ac:dyDescent="0.3">
      <c r="D103" s="31" t="str">
        <f t="shared" si="10"/>
        <v/>
      </c>
      <c r="E103" s="31" t="str">
        <f t="shared" si="11"/>
        <v/>
      </c>
      <c r="F103" s="31" t="str">
        <f t="shared" si="12"/>
        <v/>
      </c>
      <c r="G103" s="31" t="str">
        <f t="shared" si="13"/>
        <v/>
      </c>
      <c r="H103" s="193" t="e">
        <f t="shared" si="14"/>
        <v>#VALUE!</v>
      </c>
      <c r="I103" s="31" t="str">
        <f t="shared" si="15"/>
        <v/>
      </c>
      <c r="J103" s="31" t="str">
        <f t="shared" si="16"/>
        <v/>
      </c>
      <c r="K103" s="31" t="str">
        <f t="shared" si="17"/>
        <v/>
      </c>
      <c r="L103" s="31" t="str">
        <f t="shared" si="18"/>
        <v/>
      </c>
      <c r="M103" s="193" t="e">
        <f t="shared" si="19"/>
        <v>#VALUE!</v>
      </c>
      <c r="N103" s="31" t="str">
        <f t="shared" si="20"/>
        <v/>
      </c>
      <c r="O103" s="31" t="str">
        <f t="shared" si="21"/>
        <v/>
      </c>
      <c r="P103" s="31" t="str">
        <f t="shared" si="22"/>
        <v/>
      </c>
      <c r="Q103" s="31" t="str">
        <f t="shared" si="23"/>
        <v/>
      </c>
      <c r="R103" s="193" t="e">
        <f t="shared" si="24"/>
        <v>#VALUE!</v>
      </c>
      <c r="S103" s="31" t="str">
        <f t="shared" si="25"/>
        <v/>
      </c>
      <c r="T103" s="31" t="str">
        <f t="shared" si="26"/>
        <v/>
      </c>
      <c r="U103" s="31" t="str">
        <f t="shared" si="27"/>
        <v/>
      </c>
      <c r="V103" s="31" t="str">
        <f t="shared" si="28"/>
        <v/>
      </c>
      <c r="W103" s="193" t="e">
        <f t="shared" si="29"/>
        <v>#VALUE!</v>
      </c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</row>
    <row r="104" spans="4:42" ht="33.6" x14ac:dyDescent="0.3">
      <c r="D104" s="192" t="str">
        <f t="shared" si="10"/>
        <v/>
      </c>
      <c r="E104" s="192" t="str">
        <f t="shared" si="11"/>
        <v/>
      </c>
      <c r="F104" s="192" t="str">
        <f t="shared" si="12"/>
        <v/>
      </c>
      <c r="G104" s="192" t="str">
        <f t="shared" si="13"/>
        <v/>
      </c>
      <c r="H104" s="194" t="e">
        <f t="shared" si="14"/>
        <v>#VALUE!</v>
      </c>
      <c r="I104" s="192" t="str">
        <f t="shared" si="15"/>
        <v/>
      </c>
      <c r="J104" s="192" t="str">
        <f t="shared" si="16"/>
        <v/>
      </c>
      <c r="K104" s="192" t="str">
        <f t="shared" si="17"/>
        <v/>
      </c>
      <c r="L104" s="192" t="str">
        <f t="shared" si="18"/>
        <v/>
      </c>
      <c r="M104" s="192" t="e">
        <f t="shared" si="19"/>
        <v>#VALUE!</v>
      </c>
      <c r="N104" s="192" t="str">
        <f t="shared" si="20"/>
        <v/>
      </c>
      <c r="O104" s="192" t="str">
        <f t="shared" si="21"/>
        <v/>
      </c>
      <c r="P104" s="192" t="str">
        <f t="shared" si="22"/>
        <v/>
      </c>
      <c r="Q104" s="192" t="str">
        <f t="shared" si="23"/>
        <v/>
      </c>
      <c r="R104" s="192" t="e">
        <f t="shared" si="24"/>
        <v>#VALUE!</v>
      </c>
      <c r="S104" s="192" t="str">
        <f t="shared" si="25"/>
        <v/>
      </c>
      <c r="T104" s="192" t="str">
        <f t="shared" si="26"/>
        <v/>
      </c>
      <c r="U104" s="192" t="str">
        <f t="shared" si="27"/>
        <v/>
      </c>
      <c r="V104" s="192" t="str">
        <f t="shared" si="28"/>
        <v/>
      </c>
      <c r="W104" s="192" t="e">
        <f t="shared" si="29"/>
        <v>#VALUE!</v>
      </c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</row>
    <row r="105" spans="4:42" ht="33.6" x14ac:dyDescent="0.3">
      <c r="D105" s="31" t="str">
        <f t="shared" si="10"/>
        <v/>
      </c>
      <c r="E105" s="31" t="str">
        <f t="shared" si="11"/>
        <v/>
      </c>
      <c r="F105" s="31" t="str">
        <f t="shared" si="12"/>
        <v/>
      </c>
      <c r="G105" s="31" t="str">
        <f t="shared" si="13"/>
        <v/>
      </c>
      <c r="H105" s="193" t="e">
        <f t="shared" si="14"/>
        <v>#VALUE!</v>
      </c>
      <c r="I105" s="31" t="str">
        <f t="shared" si="15"/>
        <v/>
      </c>
      <c r="J105" s="31" t="str">
        <f t="shared" si="16"/>
        <v/>
      </c>
      <c r="K105" s="31" t="str">
        <f t="shared" si="17"/>
        <v/>
      </c>
      <c r="L105" s="31" t="str">
        <f t="shared" si="18"/>
        <v/>
      </c>
      <c r="M105" s="193" t="e">
        <f t="shared" si="19"/>
        <v>#VALUE!</v>
      </c>
      <c r="N105" s="31" t="str">
        <f t="shared" si="20"/>
        <v/>
      </c>
      <c r="O105" s="31" t="str">
        <f t="shared" si="21"/>
        <v/>
      </c>
      <c r="P105" s="31" t="str">
        <f t="shared" si="22"/>
        <v/>
      </c>
      <c r="Q105" s="31" t="str">
        <f t="shared" si="23"/>
        <v/>
      </c>
      <c r="R105" s="193" t="e">
        <f t="shared" si="24"/>
        <v>#VALUE!</v>
      </c>
      <c r="S105" s="31" t="str">
        <f t="shared" si="25"/>
        <v/>
      </c>
      <c r="T105" s="31" t="str">
        <f t="shared" si="26"/>
        <v/>
      </c>
      <c r="U105" s="31" t="str">
        <f t="shared" si="27"/>
        <v/>
      </c>
      <c r="V105" s="31" t="str">
        <f t="shared" si="28"/>
        <v/>
      </c>
      <c r="W105" s="193" t="e">
        <f t="shared" si="29"/>
        <v>#VALUE!</v>
      </c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</row>
    <row r="106" spans="4:42" ht="33.6" x14ac:dyDescent="0.3">
      <c r="D106" s="192" t="str">
        <f t="shared" si="10"/>
        <v/>
      </c>
      <c r="E106" s="192" t="str">
        <f t="shared" si="11"/>
        <v/>
      </c>
      <c r="F106" s="192" t="str">
        <f t="shared" si="12"/>
        <v/>
      </c>
      <c r="G106" s="192" t="str">
        <f t="shared" si="13"/>
        <v/>
      </c>
      <c r="H106" s="194" t="e">
        <f t="shared" si="14"/>
        <v>#VALUE!</v>
      </c>
      <c r="I106" s="192" t="str">
        <f t="shared" si="15"/>
        <v/>
      </c>
      <c r="J106" s="192" t="str">
        <f t="shared" si="16"/>
        <v/>
      </c>
      <c r="K106" s="192" t="str">
        <f t="shared" si="17"/>
        <v/>
      </c>
      <c r="L106" s="192" t="str">
        <f t="shared" si="18"/>
        <v/>
      </c>
      <c r="M106" s="192" t="e">
        <f t="shared" si="19"/>
        <v>#VALUE!</v>
      </c>
      <c r="N106" s="192" t="str">
        <f t="shared" si="20"/>
        <v/>
      </c>
      <c r="O106" s="192" t="str">
        <f t="shared" si="21"/>
        <v/>
      </c>
      <c r="P106" s="192" t="str">
        <f t="shared" si="22"/>
        <v/>
      </c>
      <c r="Q106" s="192" t="str">
        <f t="shared" si="23"/>
        <v/>
      </c>
      <c r="R106" s="192" t="e">
        <f t="shared" si="24"/>
        <v>#VALUE!</v>
      </c>
      <c r="S106" s="192" t="str">
        <f t="shared" si="25"/>
        <v/>
      </c>
      <c r="T106" s="192" t="str">
        <f t="shared" si="26"/>
        <v/>
      </c>
      <c r="U106" s="192" t="str">
        <f t="shared" si="27"/>
        <v/>
      </c>
      <c r="V106" s="192" t="str">
        <f t="shared" si="28"/>
        <v/>
      </c>
      <c r="W106" s="192" t="e">
        <f t="shared" si="29"/>
        <v>#VALUE!</v>
      </c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</row>
    <row r="107" spans="4:42" ht="33.6" x14ac:dyDescent="0.3">
      <c r="D107" s="31" t="str">
        <f t="shared" si="10"/>
        <v/>
      </c>
      <c r="E107" s="31" t="str">
        <f t="shared" si="11"/>
        <v/>
      </c>
      <c r="F107" s="31" t="str">
        <f t="shared" si="12"/>
        <v/>
      </c>
      <c r="G107" s="31" t="str">
        <f t="shared" si="13"/>
        <v/>
      </c>
      <c r="H107" s="193" t="e">
        <f t="shared" si="14"/>
        <v>#VALUE!</v>
      </c>
      <c r="I107" s="31" t="str">
        <f t="shared" si="15"/>
        <v/>
      </c>
      <c r="J107" s="31" t="str">
        <f t="shared" si="16"/>
        <v/>
      </c>
      <c r="K107" s="31" t="str">
        <f t="shared" si="17"/>
        <v/>
      </c>
      <c r="L107" s="31" t="str">
        <f t="shared" si="18"/>
        <v/>
      </c>
      <c r="M107" s="193" t="e">
        <f t="shared" si="19"/>
        <v>#VALUE!</v>
      </c>
      <c r="N107" s="31" t="str">
        <f t="shared" si="20"/>
        <v/>
      </c>
      <c r="O107" s="31" t="str">
        <f t="shared" si="21"/>
        <v/>
      </c>
      <c r="P107" s="31" t="str">
        <f t="shared" si="22"/>
        <v/>
      </c>
      <c r="Q107" s="31" t="str">
        <f t="shared" si="23"/>
        <v/>
      </c>
      <c r="R107" s="193" t="e">
        <f t="shared" si="24"/>
        <v>#VALUE!</v>
      </c>
      <c r="S107" s="31" t="str">
        <f t="shared" si="25"/>
        <v/>
      </c>
      <c r="T107" s="31" t="str">
        <f t="shared" si="26"/>
        <v/>
      </c>
      <c r="U107" s="31" t="str">
        <f t="shared" si="27"/>
        <v/>
      </c>
      <c r="V107" s="31" t="str">
        <f t="shared" si="28"/>
        <v/>
      </c>
      <c r="W107" s="193" t="e">
        <f t="shared" si="29"/>
        <v>#VALUE!</v>
      </c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</row>
    <row r="108" spans="4:42" ht="33.6" x14ac:dyDescent="0.3">
      <c r="D108" s="192" t="str">
        <f t="shared" si="10"/>
        <v/>
      </c>
      <c r="E108" s="192" t="str">
        <f t="shared" si="11"/>
        <v/>
      </c>
      <c r="F108" s="192" t="str">
        <f t="shared" si="12"/>
        <v/>
      </c>
      <c r="G108" s="192" t="str">
        <f t="shared" si="13"/>
        <v/>
      </c>
      <c r="H108" s="194" t="e">
        <f t="shared" si="14"/>
        <v>#VALUE!</v>
      </c>
      <c r="I108" s="192" t="str">
        <f t="shared" si="15"/>
        <v/>
      </c>
      <c r="J108" s="192" t="str">
        <f t="shared" si="16"/>
        <v/>
      </c>
      <c r="K108" s="192" t="str">
        <f t="shared" si="17"/>
        <v/>
      </c>
      <c r="L108" s="192" t="str">
        <f t="shared" si="18"/>
        <v/>
      </c>
      <c r="M108" s="192" t="e">
        <f t="shared" si="19"/>
        <v>#VALUE!</v>
      </c>
      <c r="N108" s="192" t="str">
        <f t="shared" si="20"/>
        <v/>
      </c>
      <c r="O108" s="192" t="str">
        <f t="shared" si="21"/>
        <v/>
      </c>
      <c r="P108" s="192" t="str">
        <f t="shared" si="22"/>
        <v/>
      </c>
      <c r="Q108" s="192" t="str">
        <f t="shared" si="23"/>
        <v/>
      </c>
      <c r="R108" s="192" t="e">
        <f t="shared" si="24"/>
        <v>#VALUE!</v>
      </c>
      <c r="S108" s="192" t="str">
        <f t="shared" si="25"/>
        <v/>
      </c>
      <c r="T108" s="192" t="str">
        <f t="shared" si="26"/>
        <v/>
      </c>
      <c r="U108" s="192" t="str">
        <f t="shared" si="27"/>
        <v/>
      </c>
      <c r="V108" s="192" t="str">
        <f t="shared" si="28"/>
        <v/>
      </c>
      <c r="W108" s="192" t="e">
        <f t="shared" si="29"/>
        <v>#VALUE!</v>
      </c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</row>
    <row r="109" spans="4:42" ht="33.6" x14ac:dyDescent="0.3">
      <c r="D109" s="31" t="str">
        <f t="shared" si="10"/>
        <v/>
      </c>
      <c r="E109" s="31" t="str">
        <f t="shared" si="11"/>
        <v/>
      </c>
      <c r="F109" s="31" t="str">
        <f t="shared" si="12"/>
        <v/>
      </c>
      <c r="G109" s="31" t="str">
        <f t="shared" si="13"/>
        <v/>
      </c>
      <c r="H109" s="193" t="e">
        <f t="shared" si="14"/>
        <v>#VALUE!</v>
      </c>
      <c r="I109" s="31" t="str">
        <f t="shared" si="15"/>
        <v/>
      </c>
      <c r="J109" s="31" t="str">
        <f t="shared" si="16"/>
        <v/>
      </c>
      <c r="K109" s="31" t="str">
        <f t="shared" si="17"/>
        <v/>
      </c>
      <c r="L109" s="31" t="str">
        <f t="shared" si="18"/>
        <v/>
      </c>
      <c r="M109" s="193" t="e">
        <f t="shared" si="19"/>
        <v>#VALUE!</v>
      </c>
      <c r="N109" s="31" t="str">
        <f t="shared" si="20"/>
        <v/>
      </c>
      <c r="O109" s="31" t="str">
        <f t="shared" si="21"/>
        <v/>
      </c>
      <c r="P109" s="31" t="str">
        <f t="shared" si="22"/>
        <v/>
      </c>
      <c r="Q109" s="31" t="str">
        <f t="shared" si="23"/>
        <v/>
      </c>
      <c r="R109" s="193" t="e">
        <f t="shared" si="24"/>
        <v>#VALUE!</v>
      </c>
      <c r="S109" s="31" t="str">
        <f t="shared" si="25"/>
        <v/>
      </c>
      <c r="T109" s="31" t="str">
        <f t="shared" si="26"/>
        <v/>
      </c>
      <c r="U109" s="31" t="str">
        <f t="shared" si="27"/>
        <v/>
      </c>
      <c r="V109" s="31" t="str">
        <f t="shared" si="28"/>
        <v/>
      </c>
      <c r="W109" s="193" t="e">
        <f t="shared" si="29"/>
        <v>#VALUE!</v>
      </c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</row>
    <row r="110" spans="4:42" ht="33.6" x14ac:dyDescent="0.3">
      <c r="D110" s="192" t="str">
        <f t="shared" si="10"/>
        <v/>
      </c>
      <c r="E110" s="192" t="str">
        <f t="shared" si="11"/>
        <v/>
      </c>
      <c r="F110" s="192" t="str">
        <f t="shared" si="12"/>
        <v/>
      </c>
      <c r="G110" s="192" t="str">
        <f t="shared" si="13"/>
        <v/>
      </c>
      <c r="H110" s="194" t="e">
        <f t="shared" si="14"/>
        <v>#VALUE!</v>
      </c>
      <c r="I110" s="192" t="str">
        <f t="shared" si="15"/>
        <v/>
      </c>
      <c r="J110" s="192" t="str">
        <f t="shared" si="16"/>
        <v/>
      </c>
      <c r="K110" s="192" t="str">
        <f t="shared" si="17"/>
        <v/>
      </c>
      <c r="L110" s="192" t="str">
        <f t="shared" si="18"/>
        <v/>
      </c>
      <c r="M110" s="192" t="e">
        <f t="shared" si="19"/>
        <v>#VALUE!</v>
      </c>
      <c r="N110" s="192" t="str">
        <f t="shared" si="20"/>
        <v/>
      </c>
      <c r="O110" s="192" t="str">
        <f t="shared" si="21"/>
        <v/>
      </c>
      <c r="P110" s="192" t="str">
        <f t="shared" si="22"/>
        <v/>
      </c>
      <c r="Q110" s="192" t="str">
        <f t="shared" si="23"/>
        <v/>
      </c>
      <c r="R110" s="192" t="e">
        <f t="shared" si="24"/>
        <v>#VALUE!</v>
      </c>
      <c r="S110" s="192" t="str">
        <f t="shared" si="25"/>
        <v/>
      </c>
      <c r="T110" s="192" t="str">
        <f t="shared" si="26"/>
        <v/>
      </c>
      <c r="U110" s="192" t="str">
        <f t="shared" si="27"/>
        <v/>
      </c>
      <c r="V110" s="192" t="str">
        <f t="shared" si="28"/>
        <v/>
      </c>
      <c r="W110" s="192" t="e">
        <f t="shared" si="29"/>
        <v>#VALUE!</v>
      </c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</row>
    <row r="111" spans="4:42" ht="33.6" x14ac:dyDescent="0.3">
      <c r="D111" s="31" t="str">
        <f t="shared" si="10"/>
        <v/>
      </c>
      <c r="E111" s="31" t="str">
        <f t="shared" si="11"/>
        <v/>
      </c>
      <c r="F111" s="31" t="str">
        <f t="shared" si="12"/>
        <v/>
      </c>
      <c r="G111" s="31" t="str">
        <f t="shared" si="13"/>
        <v/>
      </c>
      <c r="H111" s="193" t="e">
        <f t="shared" si="14"/>
        <v>#VALUE!</v>
      </c>
      <c r="I111" s="31" t="str">
        <f t="shared" si="15"/>
        <v/>
      </c>
      <c r="J111" s="31" t="str">
        <f t="shared" si="16"/>
        <v/>
      </c>
      <c r="K111" s="31" t="str">
        <f t="shared" si="17"/>
        <v/>
      </c>
      <c r="L111" s="31" t="str">
        <f t="shared" si="18"/>
        <v/>
      </c>
      <c r="M111" s="193" t="e">
        <f t="shared" si="19"/>
        <v>#VALUE!</v>
      </c>
      <c r="N111" s="31" t="str">
        <f t="shared" si="20"/>
        <v/>
      </c>
      <c r="O111" s="31" t="str">
        <f t="shared" si="21"/>
        <v/>
      </c>
      <c r="P111" s="31" t="str">
        <f t="shared" si="22"/>
        <v/>
      </c>
      <c r="Q111" s="31" t="str">
        <f t="shared" si="23"/>
        <v/>
      </c>
      <c r="R111" s="193" t="e">
        <f t="shared" si="24"/>
        <v>#VALUE!</v>
      </c>
      <c r="S111" s="31" t="str">
        <f t="shared" si="25"/>
        <v/>
      </c>
      <c r="T111" s="31" t="str">
        <f t="shared" si="26"/>
        <v/>
      </c>
      <c r="U111" s="31" t="str">
        <f t="shared" si="27"/>
        <v/>
      </c>
      <c r="V111" s="31" t="str">
        <f t="shared" si="28"/>
        <v/>
      </c>
      <c r="W111" s="193" t="e">
        <f t="shared" si="29"/>
        <v>#VALUE!</v>
      </c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</row>
    <row r="112" spans="4:42" ht="33.6" x14ac:dyDescent="0.3">
      <c r="D112" s="192" t="str">
        <f t="shared" si="10"/>
        <v/>
      </c>
      <c r="E112" s="192" t="str">
        <f t="shared" si="11"/>
        <v/>
      </c>
      <c r="F112" s="192" t="str">
        <f t="shared" si="12"/>
        <v/>
      </c>
      <c r="G112" s="192" t="str">
        <f t="shared" si="13"/>
        <v/>
      </c>
      <c r="H112" s="194" t="e">
        <f t="shared" si="14"/>
        <v>#VALUE!</v>
      </c>
      <c r="I112" s="192" t="str">
        <f t="shared" si="15"/>
        <v/>
      </c>
      <c r="J112" s="192" t="str">
        <f t="shared" si="16"/>
        <v/>
      </c>
      <c r="K112" s="192" t="str">
        <f t="shared" si="17"/>
        <v/>
      </c>
      <c r="L112" s="192" t="str">
        <f t="shared" si="18"/>
        <v/>
      </c>
      <c r="M112" s="192" t="e">
        <f t="shared" si="19"/>
        <v>#VALUE!</v>
      </c>
      <c r="N112" s="192" t="str">
        <f t="shared" si="20"/>
        <v/>
      </c>
      <c r="O112" s="192" t="str">
        <f t="shared" si="21"/>
        <v/>
      </c>
      <c r="P112" s="192" t="str">
        <f t="shared" si="22"/>
        <v/>
      </c>
      <c r="Q112" s="192" t="str">
        <f t="shared" si="23"/>
        <v/>
      </c>
      <c r="R112" s="192" t="e">
        <f t="shared" si="24"/>
        <v>#VALUE!</v>
      </c>
      <c r="S112" s="192" t="str">
        <f t="shared" si="25"/>
        <v/>
      </c>
      <c r="T112" s="192" t="str">
        <f t="shared" si="26"/>
        <v/>
      </c>
      <c r="U112" s="192" t="str">
        <f t="shared" si="27"/>
        <v/>
      </c>
      <c r="V112" s="192" t="str">
        <f t="shared" si="28"/>
        <v/>
      </c>
      <c r="W112" s="192" t="e">
        <f t="shared" si="29"/>
        <v>#VALUE!</v>
      </c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</row>
    <row r="113" spans="4:42" x14ac:dyDescent="0.3"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</row>
    <row r="114" spans="4:42" x14ac:dyDescent="0.3"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</row>
    <row r="115" spans="4:42" x14ac:dyDescent="0.3"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</row>
    <row r="116" spans="4:42" x14ac:dyDescent="0.3"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</row>
    <row r="117" spans="4:42" x14ac:dyDescent="0.3"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</row>
    <row r="118" spans="4:42" x14ac:dyDescent="0.3"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</row>
    <row r="119" spans="4:42" x14ac:dyDescent="0.3"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</row>
    <row r="120" spans="4:42" x14ac:dyDescent="0.3"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</row>
    <row r="121" spans="4:42" x14ac:dyDescent="0.3"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</row>
    <row r="122" spans="4:42" x14ac:dyDescent="0.3"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</row>
    <row r="123" spans="4:42" x14ac:dyDescent="0.3"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</row>
    <row r="124" spans="4:42" x14ac:dyDescent="0.3"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</row>
    <row r="125" spans="4:42" x14ac:dyDescent="0.3"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</row>
    <row r="126" spans="4:42" x14ac:dyDescent="0.3"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</row>
    <row r="127" spans="4:42" x14ac:dyDescent="0.3"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</row>
    <row r="128" spans="4:42" x14ac:dyDescent="0.3"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</row>
    <row r="129" spans="4:42" x14ac:dyDescent="0.3"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</row>
    <row r="130" spans="4:42" x14ac:dyDescent="0.3"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</row>
    <row r="131" spans="4:42" x14ac:dyDescent="0.3"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</row>
    <row r="132" spans="4:42" x14ac:dyDescent="0.3"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</row>
    <row r="133" spans="4:42" x14ac:dyDescent="0.3"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</row>
  </sheetData>
  <sheetProtection algorithmName="SHA-512" hashValue="aBqn1WdZF+LENiCng1Bt30WuaBb0x1GUqc0nzRNolPvjQNhfnapWoctB4uXoZYCv+ZkaP57OWs6qV9YGiFpbcQ==" saltValue="Vu8hU49D6f6GtZTRUuZ12w==" spinCount="100000" sheet="1" objects="1" scenarios="1"/>
  <mergeCells count="61">
    <mergeCell ref="U71:U72"/>
    <mergeCell ref="V71:V72"/>
    <mergeCell ref="W71:W72"/>
    <mergeCell ref="S70:W70"/>
    <mergeCell ref="A6:J6"/>
    <mergeCell ref="K6:V6"/>
    <mergeCell ref="B61:C61"/>
    <mergeCell ref="B62:C62"/>
    <mergeCell ref="O11:U12"/>
    <mergeCell ref="V11:AA12"/>
    <mergeCell ref="I70:M70"/>
    <mergeCell ref="J71:J72"/>
    <mergeCell ref="K71:K72"/>
    <mergeCell ref="L71:L72"/>
    <mergeCell ref="S71:S72"/>
    <mergeCell ref="T71:T72"/>
    <mergeCell ref="X6:AE6"/>
    <mergeCell ref="C8:K8"/>
    <mergeCell ref="M8:N9"/>
    <mergeCell ref="O8:P9"/>
    <mergeCell ref="S8:U8"/>
    <mergeCell ref="V8:X8"/>
    <mergeCell ref="Z8:AB8"/>
    <mergeCell ref="AC8:AD8"/>
    <mergeCell ref="C9:K9"/>
    <mergeCell ref="S9:U9"/>
    <mergeCell ref="V9:X9"/>
    <mergeCell ref="Z9:AB9"/>
    <mergeCell ref="AC9:AD9"/>
    <mergeCell ref="AH12:AH13"/>
    <mergeCell ref="AI12:AI13"/>
    <mergeCell ref="AF11:AI11"/>
    <mergeCell ref="B60:C60"/>
    <mergeCell ref="D10:X10"/>
    <mergeCell ref="Y10:AB10"/>
    <mergeCell ref="AG12:AG13"/>
    <mergeCell ref="A11:C12"/>
    <mergeCell ref="D11:N12"/>
    <mergeCell ref="B59:C59"/>
    <mergeCell ref="AB56:AE57"/>
    <mergeCell ref="D56:N57"/>
    <mergeCell ref="O56:U57"/>
    <mergeCell ref="V56:AA57"/>
    <mergeCell ref="AF12:AF13"/>
    <mergeCell ref="B58:C58"/>
    <mergeCell ref="AB11:AE12"/>
    <mergeCell ref="B70:C70"/>
    <mergeCell ref="H71:H72"/>
    <mergeCell ref="D70:H70"/>
    <mergeCell ref="M71:M72"/>
    <mergeCell ref="N70:R70"/>
    <mergeCell ref="N71:N72"/>
    <mergeCell ref="O71:O72"/>
    <mergeCell ref="P71:P72"/>
    <mergeCell ref="Q71:Q72"/>
    <mergeCell ref="R71:R72"/>
    <mergeCell ref="D71:D72"/>
    <mergeCell ref="E71:E72"/>
    <mergeCell ref="F71:F72"/>
    <mergeCell ref="G71:G72"/>
    <mergeCell ref="I71:I72"/>
  </mergeCells>
  <phoneticPr fontId="11" type="noConversion"/>
  <conditionalFormatting sqref="AB7:AG7 D7:Y7">
    <cfRule type="cellIs" dxfId="9" priority="29" stopIfTrue="1" operator="between">
      <formula>0</formula>
      <formula>9</formula>
    </cfRule>
    <cfRule type="cellIs" dxfId="8" priority="30" stopIfTrue="1" operator="between">
      <formula>10</formula>
      <formula>12</formula>
    </cfRule>
    <cfRule type="cellIs" dxfId="7" priority="31" stopIfTrue="1" operator="between">
      <formula>13</formula>
      <formula>20</formula>
    </cfRule>
  </conditionalFormatting>
  <conditionalFormatting sqref="AN14:AN16">
    <cfRule type="cellIs" dxfId="6" priority="28" operator="equal">
      <formula>"✔️"</formula>
    </cfRule>
  </conditionalFormatting>
  <conditionalFormatting sqref="AN15">
    <cfRule type="cellIs" dxfId="5" priority="27" operator="equal">
      <formula>"❌"</formula>
    </cfRule>
  </conditionalFormatting>
  <conditionalFormatting sqref="AN16">
    <cfRule type="cellIs" dxfId="4" priority="26" operator="equal">
      <formula>"➖"</formula>
    </cfRule>
  </conditionalFormatting>
  <conditionalFormatting sqref="BA14">
    <cfRule type="cellIs" dxfId="3" priority="23" operator="equal">
      <formula>"✔️"</formula>
    </cfRule>
  </conditionalFormatting>
  <conditionalFormatting sqref="D14:AE53">
    <cfRule type="cellIs" dxfId="2" priority="19" operator="equal">
      <formula>"⚫"</formula>
    </cfRule>
    <cfRule type="cellIs" dxfId="1" priority="20" operator="equal">
      <formula>"❌"</formula>
    </cfRule>
    <cfRule type="cellIs" priority="21" operator="equal">
      <formula>"⚫"</formula>
    </cfRule>
    <cfRule type="cellIs" dxfId="0" priority="22" operator="equal">
      <formula>"✔️"</formula>
    </cfRule>
  </conditionalFormatting>
  <conditionalFormatting sqref="R73:R112 W73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{FC325CBE-5472-4C54-92F0-533B7A6D95C2}</x14:id>
        </ext>
      </extLst>
    </cfRule>
  </conditionalFormatting>
  <conditionalFormatting sqref="H73:H11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{A3B0EB0D-50C6-4DD7-8766-A7A094F824B9}</x14:id>
        </ext>
      </extLst>
    </cfRule>
  </conditionalFormatting>
  <conditionalFormatting sqref="L98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{DCCBEE27-6F13-4966-B3B4-15E27350E86C}</x14:id>
        </ext>
      </extLst>
    </cfRule>
  </conditionalFormatting>
  <conditionalFormatting sqref="M73:M112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{FDD5AF8D-A14C-45E0-8ABA-DD31297E712F}</x14:id>
        </ext>
      </extLst>
    </cfRule>
  </conditionalFormatting>
  <conditionalFormatting sqref="W74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{AA6EB071-4537-466A-9ED8-B395C0EAEF3C}</x14:id>
        </ext>
      </extLst>
    </cfRule>
  </conditionalFormatting>
  <conditionalFormatting sqref="W75 W77 W79 W81 W83 W85 W87 W89 W91 W93 W95 W97 W99 W101 W103 W105 W107 W109 W111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{CBBC5CE5-02CA-41CC-B9CB-1ACD2B9C8138}</x14:id>
        </ext>
      </extLst>
    </cfRule>
  </conditionalFormatting>
  <conditionalFormatting sqref="W78 W76 W80 W82 W84 W86 W88 W90 W92 W94 W96 W98 W100 W102 W104 W106 W108 W110 W11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{1A1744A0-FDFB-4782-B46C-7AF3A07880B8}</x14:id>
        </ext>
      </extLst>
    </cfRule>
  </conditionalFormatting>
  <conditionalFormatting sqref="W73:W112 AQ73 R73:R112 M73:M112 H73:H11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{701482BF-39BC-4F87-ACF1-93D354FCBA50}</x14:id>
        </ext>
      </extLst>
    </cfRule>
  </conditionalFormatting>
  <dataValidations xWindow="477" yWindow="514" count="2">
    <dataValidation type="list" allowBlank="1" showInputMessage="1" showErrorMessage="1" prompt="Seleccione Asistencia del Alumno" sqref="C14:C53" xr:uid="{00000000-0002-0000-0400-000000000000}">
      <formula1>$AU$14:$AU$16</formula1>
    </dataValidation>
    <dataValidation type="list" allowBlank="1" showInputMessage="1" showErrorMessage="1" prompt="Opciones" sqref="D14:AE53" xr:uid="{00000000-0002-0000-0400-000001000000}">
      <formula1>$BA$14:$BA$18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H7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Botón6_Haga_clic_en">
                <anchor moveWithCells="1" sizeWithCells="1">
                  <from>
                    <xdr:col>37</xdr:col>
                    <xdr:colOff>220980</xdr:colOff>
                    <xdr:row>10</xdr:row>
                    <xdr:rowOff>0</xdr:rowOff>
                  </from>
                  <to>
                    <xdr:col>59</xdr:col>
                    <xdr:colOff>441960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325CBE-5472-4C54-92F0-533B7A6D95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R73:R112 W73</xm:sqref>
        </x14:conditionalFormatting>
        <x14:conditionalFormatting xmlns:xm="http://schemas.microsoft.com/office/excel/2006/main">
          <x14:cfRule type="dataBar" id="{A3B0EB0D-50C6-4DD7-8766-A7A094F824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H73:H112</xm:sqref>
        </x14:conditionalFormatting>
        <x14:conditionalFormatting xmlns:xm="http://schemas.microsoft.com/office/excel/2006/main">
          <x14:cfRule type="dataBar" id="{DCCBEE27-6F13-4966-B3B4-15E27350E8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L98</xm:sqref>
        </x14:conditionalFormatting>
        <x14:conditionalFormatting xmlns:xm="http://schemas.microsoft.com/office/excel/2006/main">
          <x14:cfRule type="dataBar" id="{FDD5AF8D-A14C-45E0-8ABA-DD31297E71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M73:M112</xm:sqref>
        </x14:conditionalFormatting>
        <x14:conditionalFormatting xmlns:xm="http://schemas.microsoft.com/office/excel/2006/main">
          <x14:cfRule type="dataBar" id="{AA6EB071-4537-466A-9ED8-B395C0EAEF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W74</xm:sqref>
        </x14:conditionalFormatting>
        <x14:conditionalFormatting xmlns:xm="http://schemas.microsoft.com/office/excel/2006/main">
          <x14:cfRule type="dataBar" id="{CBBC5CE5-02CA-41CC-B9CB-1ACD2B9C81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W75 W77 W79 W81 W83 W85 W87 W89 W91 W93 W95 W97 W99 W101 W103 W105 W107 W109 W111</xm:sqref>
        </x14:conditionalFormatting>
        <x14:conditionalFormatting xmlns:xm="http://schemas.microsoft.com/office/excel/2006/main">
          <x14:cfRule type="dataBar" id="{1A1744A0-FDFB-4782-B46C-7AF3A07880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W78 W76 W80 W82 W84 W86 W88 W90 W92 W94 W96 W98 W100 W102 W104 W106 W108 W110 W112</xm:sqref>
        </x14:conditionalFormatting>
        <x14:conditionalFormatting xmlns:xm="http://schemas.microsoft.com/office/excel/2006/main">
          <x14:cfRule type="dataBar" id="{701482BF-39BC-4F87-ACF1-93D354FCBA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W73:W112 AQ73 R73:R112 M73:M112 H73:H112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2:GL26"/>
  <sheetViews>
    <sheetView zoomScale="90" zoomScaleNormal="90" workbookViewId="0">
      <selection activeCell="C21" sqref="C21:F21"/>
    </sheetView>
  </sheetViews>
  <sheetFormatPr baseColWidth="10" defaultRowHeight="14.4" x14ac:dyDescent="0.3"/>
  <cols>
    <col min="1" max="1" width="13.44140625" customWidth="1"/>
    <col min="2" max="2" width="62.21875" bestFit="1" customWidth="1"/>
    <col min="3" max="3" width="6.5546875" customWidth="1"/>
    <col min="4" max="6" width="6" bestFit="1" customWidth="1"/>
    <col min="7" max="8" width="4.33203125" customWidth="1"/>
    <col min="9" max="10" width="4.6640625" customWidth="1"/>
    <col min="11" max="13" width="4.33203125" customWidth="1"/>
    <col min="14" max="14" width="4.6640625" customWidth="1"/>
    <col min="15" max="16" width="4.33203125" customWidth="1"/>
    <col min="17" max="18" width="4.6640625" customWidth="1"/>
    <col min="19" max="20" width="4.33203125" customWidth="1"/>
    <col min="21" max="22" width="4.6640625" customWidth="1"/>
    <col min="23" max="24" width="4.33203125" customWidth="1"/>
    <col min="25" max="26" width="4.6640625" customWidth="1"/>
    <col min="27" max="28" width="4.33203125" customWidth="1"/>
    <col min="29" max="30" width="4.6640625" customWidth="1"/>
    <col min="31" max="32" width="4.33203125" customWidth="1"/>
    <col min="33" max="34" width="4.6640625" customWidth="1"/>
    <col min="35" max="36" width="4.33203125" customWidth="1"/>
    <col min="37" max="38" width="4.6640625" customWidth="1"/>
    <col min="39" max="40" width="4.33203125" customWidth="1"/>
    <col min="41" max="42" width="4.6640625" customWidth="1"/>
    <col min="43" max="44" width="4.33203125" customWidth="1"/>
    <col min="45" max="46" width="4.6640625" customWidth="1"/>
    <col min="47" max="48" width="4.33203125" customWidth="1"/>
    <col min="49" max="50" width="4.6640625" customWidth="1"/>
    <col min="51" max="52" width="4.33203125" customWidth="1"/>
    <col min="53" max="54" width="4.6640625" customWidth="1"/>
    <col min="55" max="56" width="4.33203125" customWidth="1"/>
    <col min="57" max="58" width="4.6640625" customWidth="1"/>
    <col min="59" max="60" width="4.33203125" customWidth="1"/>
    <col min="61" max="62" width="4.6640625" customWidth="1"/>
    <col min="63" max="64" width="4.33203125" customWidth="1"/>
    <col min="65" max="66" width="4.6640625" customWidth="1"/>
    <col min="67" max="68" width="4.33203125" customWidth="1"/>
    <col min="69" max="70" width="4.6640625" customWidth="1"/>
    <col min="71" max="72" width="4.33203125" customWidth="1"/>
    <col min="73" max="74" width="4.6640625" customWidth="1"/>
    <col min="75" max="76" width="4.33203125" customWidth="1"/>
    <col min="77" max="78" width="4.6640625" customWidth="1"/>
    <col min="79" max="80" width="4.33203125" customWidth="1"/>
    <col min="81" max="82" width="4.6640625" customWidth="1"/>
    <col min="83" max="84" width="4.33203125" customWidth="1"/>
    <col min="85" max="86" width="4.6640625" customWidth="1"/>
    <col min="87" max="88" width="4.33203125" customWidth="1"/>
    <col min="89" max="90" width="4.6640625" customWidth="1"/>
    <col min="91" max="92" width="4.33203125" customWidth="1"/>
    <col min="93" max="94" width="4.6640625" customWidth="1"/>
    <col min="95" max="96" width="4.33203125" customWidth="1"/>
    <col min="97" max="98" width="4.6640625" customWidth="1"/>
    <col min="99" max="100" width="4.33203125" customWidth="1"/>
    <col min="101" max="102" width="4.6640625" customWidth="1"/>
    <col min="103" max="104" width="4.33203125" customWidth="1"/>
    <col min="105" max="106" width="4.6640625" customWidth="1"/>
    <col min="107" max="108" width="4.33203125" customWidth="1"/>
    <col min="109" max="110" width="4.6640625" customWidth="1"/>
    <col min="111" max="112" width="4.33203125" customWidth="1"/>
    <col min="113" max="114" width="4.6640625" customWidth="1"/>
    <col min="115" max="116" width="4.33203125" customWidth="1"/>
    <col min="117" max="118" width="4.6640625" customWidth="1"/>
    <col min="119" max="120" width="4.33203125" customWidth="1"/>
    <col min="121" max="122" width="4.6640625" customWidth="1"/>
    <col min="123" max="124" width="4.33203125" customWidth="1"/>
    <col min="125" max="126" width="4.6640625" customWidth="1"/>
    <col min="127" max="128" width="4.33203125" customWidth="1"/>
    <col min="129" max="130" width="4.6640625" customWidth="1"/>
    <col min="131" max="132" width="4.33203125" customWidth="1"/>
    <col min="133" max="134" width="4.6640625" customWidth="1"/>
    <col min="135" max="136" width="4.33203125" customWidth="1"/>
    <col min="137" max="138" width="4.6640625" customWidth="1"/>
    <col min="139" max="140" width="4.33203125" customWidth="1"/>
    <col min="141" max="142" width="4.6640625" customWidth="1"/>
    <col min="143" max="144" width="4.33203125" customWidth="1"/>
    <col min="145" max="146" width="4.6640625" customWidth="1"/>
    <col min="147" max="148" width="4.33203125" customWidth="1"/>
    <col min="149" max="150" width="4.6640625" customWidth="1"/>
    <col min="151" max="152" width="4.33203125" customWidth="1"/>
    <col min="153" max="154" width="4.6640625" customWidth="1"/>
    <col min="155" max="156" width="4.33203125" customWidth="1"/>
    <col min="157" max="158" width="4.6640625" customWidth="1"/>
    <col min="159" max="160" width="4.33203125" customWidth="1"/>
    <col min="161" max="162" width="4.6640625" customWidth="1"/>
    <col min="163" max="164" width="4.33203125" customWidth="1"/>
    <col min="165" max="166" width="4.6640625" customWidth="1"/>
    <col min="167" max="168" width="4.33203125" customWidth="1"/>
    <col min="169" max="170" width="4.6640625" customWidth="1"/>
    <col min="171" max="172" width="4.33203125" customWidth="1"/>
    <col min="173" max="174" width="4.6640625" customWidth="1"/>
    <col min="175" max="176" width="4.33203125" customWidth="1"/>
    <col min="177" max="178" width="4.6640625" customWidth="1"/>
    <col min="179" max="180" width="4.33203125" customWidth="1"/>
    <col min="181" max="182" width="4.6640625" customWidth="1"/>
    <col min="183" max="184" width="4.33203125" customWidth="1"/>
    <col min="185" max="186" width="4.6640625" customWidth="1"/>
    <col min="187" max="188" width="4.33203125" customWidth="1"/>
    <col min="189" max="190" width="4.6640625" customWidth="1"/>
    <col min="191" max="192" width="4.33203125" customWidth="1"/>
    <col min="193" max="194" width="4.6640625" customWidth="1"/>
  </cols>
  <sheetData>
    <row r="2" spans="1:194" x14ac:dyDescent="0.3">
      <c r="DA2" t="s">
        <v>111</v>
      </c>
    </row>
    <row r="5" spans="1:194" ht="21" x14ac:dyDescent="0.3">
      <c r="A5" s="331" t="s">
        <v>134</v>
      </c>
      <c r="B5" s="331"/>
      <c r="C5" s="333" t="s">
        <v>128</v>
      </c>
      <c r="D5" s="333"/>
      <c r="E5" s="333"/>
      <c r="F5" s="333"/>
      <c r="G5" s="333"/>
      <c r="H5" s="333"/>
      <c r="I5" s="333"/>
      <c r="J5" s="333"/>
      <c r="K5" s="333"/>
      <c r="L5" s="333"/>
      <c r="M5" s="333"/>
      <c r="N5" s="333"/>
      <c r="O5" s="333"/>
      <c r="P5" s="333"/>
      <c r="Q5" s="333"/>
      <c r="R5" s="333"/>
      <c r="S5" s="333"/>
      <c r="T5" s="333"/>
      <c r="U5" s="333"/>
      <c r="V5" s="333"/>
      <c r="W5" s="333"/>
      <c r="X5" s="333"/>
      <c r="Y5" s="333"/>
      <c r="Z5" s="333"/>
      <c r="AA5" s="333"/>
      <c r="AB5" s="333"/>
      <c r="AC5" s="333"/>
      <c r="AD5" s="333"/>
      <c r="AE5" s="333"/>
      <c r="AF5" s="333"/>
      <c r="AG5" s="333"/>
      <c r="AH5" s="333"/>
      <c r="AI5" s="341" t="s">
        <v>127</v>
      </c>
      <c r="AJ5" s="341"/>
      <c r="AK5" s="341"/>
      <c r="AL5" s="341"/>
      <c r="AM5" s="341"/>
      <c r="AN5" s="341"/>
      <c r="AO5" s="341"/>
      <c r="AP5" s="341"/>
      <c r="AQ5" s="341"/>
      <c r="AR5" s="341"/>
      <c r="AS5" s="341"/>
      <c r="AT5" s="341"/>
      <c r="AU5" s="341"/>
      <c r="AV5" s="341"/>
      <c r="AW5" s="341"/>
      <c r="AX5" s="341"/>
      <c r="AY5" s="341"/>
      <c r="AZ5" s="341"/>
      <c r="BA5" s="341"/>
      <c r="BB5" s="341"/>
      <c r="BC5" s="341"/>
      <c r="BD5" s="341"/>
      <c r="BE5" s="341"/>
      <c r="BF5" s="341"/>
      <c r="BG5" s="341"/>
      <c r="BH5" s="341"/>
      <c r="BI5" s="341"/>
      <c r="BJ5" s="341"/>
      <c r="BK5" s="341"/>
      <c r="BL5" s="341"/>
      <c r="BM5" s="341"/>
      <c r="BN5" s="341"/>
      <c r="BO5" s="342" t="s">
        <v>126</v>
      </c>
      <c r="BP5" s="342"/>
      <c r="BQ5" s="342"/>
      <c r="BR5" s="342"/>
      <c r="BS5" s="342"/>
      <c r="BT5" s="342"/>
      <c r="BU5" s="342"/>
      <c r="BV5" s="342"/>
      <c r="BW5" s="342"/>
      <c r="BX5" s="342"/>
      <c r="BY5" s="342"/>
      <c r="BZ5" s="342"/>
      <c r="CA5" s="342"/>
      <c r="CB5" s="342"/>
      <c r="CC5" s="342"/>
      <c r="CD5" s="342"/>
      <c r="CE5" s="342"/>
      <c r="CF5" s="342"/>
      <c r="CG5" s="342"/>
      <c r="CH5" s="342"/>
      <c r="CI5" s="342"/>
      <c r="CJ5" s="342"/>
      <c r="CK5" s="342"/>
      <c r="CL5" s="342"/>
      <c r="CM5" s="342"/>
      <c r="CN5" s="342"/>
      <c r="CO5" s="342"/>
      <c r="CP5" s="342"/>
      <c r="CQ5" s="342"/>
      <c r="CR5" s="342"/>
      <c r="CS5" s="342"/>
      <c r="CT5" s="342"/>
      <c r="CU5" s="322" t="s">
        <v>125</v>
      </c>
      <c r="CV5" s="322"/>
      <c r="CW5" s="322"/>
      <c r="CX5" s="322"/>
      <c r="CY5" s="322"/>
      <c r="CZ5" s="322"/>
      <c r="DA5" s="322"/>
      <c r="DB5" s="322"/>
      <c r="DC5" s="322"/>
      <c r="DD5" s="322"/>
      <c r="DE5" s="322"/>
      <c r="DF5" s="322"/>
      <c r="DG5" s="322"/>
      <c r="DH5" s="322"/>
      <c r="DI5" s="322"/>
      <c r="DJ5" s="322"/>
      <c r="DK5" s="322"/>
      <c r="DL5" s="322"/>
      <c r="DM5" s="322"/>
      <c r="DN5" s="322"/>
      <c r="DO5" s="322"/>
      <c r="DP5" s="322"/>
      <c r="DQ5" s="322"/>
      <c r="DR5" s="322"/>
      <c r="DS5" s="322"/>
      <c r="DT5" s="322"/>
      <c r="DU5" s="322"/>
      <c r="DV5" s="322"/>
      <c r="DW5" s="322"/>
      <c r="DX5" s="322"/>
      <c r="DY5" s="322"/>
      <c r="DZ5" s="322"/>
      <c r="EA5" s="323" t="s">
        <v>124</v>
      </c>
      <c r="EB5" s="323"/>
      <c r="EC5" s="323"/>
      <c r="ED5" s="323"/>
      <c r="EE5" s="323"/>
      <c r="EF5" s="323"/>
      <c r="EG5" s="323"/>
      <c r="EH5" s="323"/>
      <c r="EI5" s="323"/>
      <c r="EJ5" s="323"/>
      <c r="EK5" s="323"/>
      <c r="EL5" s="323"/>
      <c r="EM5" s="323"/>
      <c r="EN5" s="323"/>
      <c r="EO5" s="323"/>
      <c r="EP5" s="323"/>
      <c r="EQ5" s="323"/>
      <c r="ER5" s="323"/>
      <c r="ES5" s="323"/>
      <c r="ET5" s="323"/>
      <c r="EU5" s="323"/>
      <c r="EV5" s="323"/>
      <c r="EW5" s="323"/>
      <c r="EX5" s="323"/>
      <c r="EY5" s="323"/>
      <c r="EZ5" s="323"/>
      <c r="FA5" s="323"/>
      <c r="FB5" s="323"/>
      <c r="FC5" s="323"/>
      <c r="FD5" s="323"/>
      <c r="FE5" s="323"/>
      <c r="FF5" s="323"/>
      <c r="FG5" s="324" t="s">
        <v>123</v>
      </c>
      <c r="FH5" s="324"/>
      <c r="FI5" s="324"/>
      <c r="FJ5" s="324"/>
      <c r="FK5" s="324"/>
      <c r="FL5" s="324"/>
      <c r="FM5" s="324"/>
      <c r="FN5" s="324"/>
      <c r="FO5" s="324"/>
      <c r="FP5" s="324"/>
      <c r="FQ5" s="324"/>
      <c r="FR5" s="324"/>
      <c r="FS5" s="324"/>
      <c r="FT5" s="324"/>
      <c r="FU5" s="324"/>
      <c r="FV5" s="324"/>
      <c r="FW5" s="324"/>
      <c r="FX5" s="324"/>
      <c r="FY5" s="324"/>
      <c r="FZ5" s="324"/>
      <c r="GA5" s="324"/>
      <c r="GB5" s="324"/>
      <c r="GC5" s="324"/>
      <c r="GD5" s="324"/>
      <c r="GE5" s="324"/>
      <c r="GF5" s="324"/>
      <c r="GG5" s="324"/>
      <c r="GH5" s="324"/>
      <c r="GI5" s="324"/>
      <c r="GJ5" s="324"/>
      <c r="GK5" s="324"/>
      <c r="GL5" s="324"/>
    </row>
    <row r="6" spans="1:194" ht="27" customHeight="1" x14ac:dyDescent="0.3">
      <c r="A6" s="343" t="s">
        <v>136</v>
      </c>
      <c r="B6" s="344"/>
      <c r="C6" s="321" t="s">
        <v>122</v>
      </c>
      <c r="D6" s="321"/>
      <c r="E6" s="321"/>
      <c r="F6" s="321"/>
      <c r="G6" s="321" t="s">
        <v>121</v>
      </c>
      <c r="H6" s="321"/>
      <c r="I6" s="321"/>
      <c r="J6" s="321"/>
      <c r="K6" s="321" t="s">
        <v>120</v>
      </c>
      <c r="L6" s="321"/>
      <c r="M6" s="321"/>
      <c r="N6" s="321"/>
      <c r="O6" s="321" t="s">
        <v>119</v>
      </c>
      <c r="P6" s="321"/>
      <c r="Q6" s="321"/>
      <c r="R6" s="321"/>
      <c r="S6" s="321" t="s">
        <v>118</v>
      </c>
      <c r="T6" s="321"/>
      <c r="U6" s="321"/>
      <c r="V6" s="321"/>
      <c r="W6" s="321" t="s">
        <v>117</v>
      </c>
      <c r="X6" s="321"/>
      <c r="Y6" s="321"/>
      <c r="Z6" s="321"/>
      <c r="AA6" s="321" t="s">
        <v>116</v>
      </c>
      <c r="AB6" s="321"/>
      <c r="AC6" s="321"/>
      <c r="AD6" s="321"/>
      <c r="AE6" s="321" t="s">
        <v>115</v>
      </c>
      <c r="AF6" s="321"/>
      <c r="AG6" s="321"/>
      <c r="AH6" s="321"/>
      <c r="AI6" s="321" t="s">
        <v>122</v>
      </c>
      <c r="AJ6" s="321"/>
      <c r="AK6" s="321"/>
      <c r="AL6" s="321"/>
      <c r="AM6" s="321" t="s">
        <v>121</v>
      </c>
      <c r="AN6" s="321"/>
      <c r="AO6" s="321"/>
      <c r="AP6" s="321"/>
      <c r="AQ6" s="321" t="s">
        <v>120</v>
      </c>
      <c r="AR6" s="321"/>
      <c r="AS6" s="321"/>
      <c r="AT6" s="321"/>
      <c r="AU6" s="321" t="s">
        <v>119</v>
      </c>
      <c r="AV6" s="321"/>
      <c r="AW6" s="321"/>
      <c r="AX6" s="321"/>
      <c r="AY6" s="321" t="s">
        <v>118</v>
      </c>
      <c r="AZ6" s="321"/>
      <c r="BA6" s="321"/>
      <c r="BB6" s="321"/>
      <c r="BC6" s="321" t="s">
        <v>117</v>
      </c>
      <c r="BD6" s="321"/>
      <c r="BE6" s="321"/>
      <c r="BF6" s="321"/>
      <c r="BG6" s="321" t="s">
        <v>116</v>
      </c>
      <c r="BH6" s="321"/>
      <c r="BI6" s="321"/>
      <c r="BJ6" s="321"/>
      <c r="BK6" s="321" t="s">
        <v>115</v>
      </c>
      <c r="BL6" s="321"/>
      <c r="BM6" s="321"/>
      <c r="BN6" s="321"/>
      <c r="BO6" s="321" t="s">
        <v>122</v>
      </c>
      <c r="BP6" s="321"/>
      <c r="BQ6" s="321"/>
      <c r="BR6" s="321"/>
      <c r="BS6" s="321" t="s">
        <v>121</v>
      </c>
      <c r="BT6" s="321"/>
      <c r="BU6" s="321"/>
      <c r="BV6" s="321"/>
      <c r="BW6" s="321" t="s">
        <v>120</v>
      </c>
      <c r="BX6" s="321"/>
      <c r="BY6" s="321"/>
      <c r="BZ6" s="321"/>
      <c r="CA6" s="321" t="s">
        <v>119</v>
      </c>
      <c r="CB6" s="321"/>
      <c r="CC6" s="321"/>
      <c r="CD6" s="321"/>
      <c r="CE6" s="321" t="s">
        <v>118</v>
      </c>
      <c r="CF6" s="321"/>
      <c r="CG6" s="321"/>
      <c r="CH6" s="321"/>
      <c r="CI6" s="321" t="s">
        <v>117</v>
      </c>
      <c r="CJ6" s="321"/>
      <c r="CK6" s="321"/>
      <c r="CL6" s="321"/>
      <c r="CM6" s="321" t="s">
        <v>116</v>
      </c>
      <c r="CN6" s="321"/>
      <c r="CO6" s="321"/>
      <c r="CP6" s="321"/>
      <c r="CQ6" s="321" t="s">
        <v>115</v>
      </c>
      <c r="CR6" s="321"/>
      <c r="CS6" s="321"/>
      <c r="CT6" s="321"/>
      <c r="CU6" s="321" t="s">
        <v>122</v>
      </c>
      <c r="CV6" s="321"/>
      <c r="CW6" s="321"/>
      <c r="CX6" s="321"/>
      <c r="CY6" s="321" t="s">
        <v>121</v>
      </c>
      <c r="CZ6" s="321"/>
      <c r="DA6" s="321"/>
      <c r="DB6" s="321"/>
      <c r="DC6" s="321" t="s">
        <v>120</v>
      </c>
      <c r="DD6" s="321"/>
      <c r="DE6" s="321"/>
      <c r="DF6" s="321"/>
      <c r="DG6" s="321" t="s">
        <v>119</v>
      </c>
      <c r="DH6" s="321"/>
      <c r="DI6" s="321"/>
      <c r="DJ6" s="321"/>
      <c r="DK6" s="321" t="s">
        <v>118</v>
      </c>
      <c r="DL6" s="321"/>
      <c r="DM6" s="321"/>
      <c r="DN6" s="321"/>
      <c r="DO6" s="321" t="s">
        <v>117</v>
      </c>
      <c r="DP6" s="321"/>
      <c r="DQ6" s="321"/>
      <c r="DR6" s="321"/>
      <c r="DS6" s="321" t="s">
        <v>116</v>
      </c>
      <c r="DT6" s="321"/>
      <c r="DU6" s="321"/>
      <c r="DV6" s="321"/>
      <c r="DW6" s="321" t="s">
        <v>115</v>
      </c>
      <c r="DX6" s="321"/>
      <c r="DY6" s="321"/>
      <c r="DZ6" s="321"/>
      <c r="EA6" s="321" t="s">
        <v>122</v>
      </c>
      <c r="EB6" s="321"/>
      <c r="EC6" s="321"/>
      <c r="ED6" s="321"/>
      <c r="EE6" s="321" t="s">
        <v>121</v>
      </c>
      <c r="EF6" s="321"/>
      <c r="EG6" s="321"/>
      <c r="EH6" s="321"/>
      <c r="EI6" s="321" t="s">
        <v>120</v>
      </c>
      <c r="EJ6" s="321"/>
      <c r="EK6" s="321"/>
      <c r="EL6" s="321"/>
      <c r="EM6" s="321" t="s">
        <v>119</v>
      </c>
      <c r="EN6" s="321"/>
      <c r="EO6" s="321"/>
      <c r="EP6" s="321"/>
      <c r="EQ6" s="321" t="s">
        <v>118</v>
      </c>
      <c r="ER6" s="321"/>
      <c r="ES6" s="321"/>
      <c r="ET6" s="321"/>
      <c r="EU6" s="321" t="s">
        <v>117</v>
      </c>
      <c r="EV6" s="321"/>
      <c r="EW6" s="321"/>
      <c r="EX6" s="321"/>
      <c r="EY6" s="321" t="s">
        <v>116</v>
      </c>
      <c r="EZ6" s="321"/>
      <c r="FA6" s="321"/>
      <c r="FB6" s="321"/>
      <c r="FC6" s="321" t="s">
        <v>115</v>
      </c>
      <c r="FD6" s="321"/>
      <c r="FE6" s="321"/>
      <c r="FF6" s="321"/>
      <c r="FG6" s="321" t="s">
        <v>122</v>
      </c>
      <c r="FH6" s="321"/>
      <c r="FI6" s="321"/>
      <c r="FJ6" s="321"/>
      <c r="FK6" s="321" t="s">
        <v>121</v>
      </c>
      <c r="FL6" s="321"/>
      <c r="FM6" s="321"/>
      <c r="FN6" s="321"/>
      <c r="FO6" s="321" t="s">
        <v>120</v>
      </c>
      <c r="FP6" s="321"/>
      <c r="FQ6" s="321"/>
      <c r="FR6" s="321"/>
      <c r="FS6" s="321" t="s">
        <v>119</v>
      </c>
      <c r="FT6" s="321"/>
      <c r="FU6" s="321"/>
      <c r="FV6" s="321"/>
      <c r="FW6" s="321" t="s">
        <v>118</v>
      </c>
      <c r="FX6" s="321"/>
      <c r="FY6" s="321"/>
      <c r="FZ6" s="321"/>
      <c r="GA6" s="321" t="s">
        <v>117</v>
      </c>
      <c r="GB6" s="321"/>
      <c r="GC6" s="321"/>
      <c r="GD6" s="321"/>
      <c r="GE6" s="321" t="s">
        <v>116</v>
      </c>
      <c r="GF6" s="321"/>
      <c r="GG6" s="321"/>
      <c r="GH6" s="321"/>
      <c r="GI6" s="321" t="s">
        <v>115</v>
      </c>
      <c r="GJ6" s="321"/>
      <c r="GK6" s="321"/>
      <c r="GL6" s="321"/>
    </row>
    <row r="7" spans="1:194" ht="14.4" customHeight="1" x14ac:dyDescent="0.3">
      <c r="A7" s="345"/>
      <c r="B7" s="346"/>
      <c r="C7" s="190" t="s">
        <v>133</v>
      </c>
      <c r="D7" s="190" t="s">
        <v>131</v>
      </c>
      <c r="E7" s="189" t="s">
        <v>0</v>
      </c>
      <c r="F7" s="188" t="s">
        <v>130</v>
      </c>
      <c r="G7" s="190" t="s">
        <v>133</v>
      </c>
      <c r="H7" s="190" t="s">
        <v>131</v>
      </c>
      <c r="I7" s="189" t="s">
        <v>0</v>
      </c>
      <c r="J7" s="188" t="s">
        <v>130</v>
      </c>
      <c r="K7" s="190" t="s">
        <v>133</v>
      </c>
      <c r="L7" s="190" t="s">
        <v>131</v>
      </c>
      <c r="M7" s="189" t="s">
        <v>0</v>
      </c>
      <c r="N7" s="188" t="s">
        <v>130</v>
      </c>
      <c r="O7" s="190" t="s">
        <v>133</v>
      </c>
      <c r="P7" s="190" t="s">
        <v>131</v>
      </c>
      <c r="Q7" s="189" t="s">
        <v>0</v>
      </c>
      <c r="R7" s="188" t="s">
        <v>130</v>
      </c>
      <c r="S7" s="190" t="s">
        <v>133</v>
      </c>
      <c r="T7" s="190" t="s">
        <v>131</v>
      </c>
      <c r="U7" s="189" t="s">
        <v>0</v>
      </c>
      <c r="V7" s="188" t="s">
        <v>130</v>
      </c>
      <c r="W7" s="190" t="s">
        <v>132</v>
      </c>
      <c r="X7" s="190" t="s">
        <v>131</v>
      </c>
      <c r="Y7" s="189" t="s">
        <v>0</v>
      </c>
      <c r="Z7" s="188" t="s">
        <v>130</v>
      </c>
      <c r="AA7" s="190" t="s">
        <v>132</v>
      </c>
      <c r="AB7" s="190" t="s">
        <v>131</v>
      </c>
      <c r="AC7" s="189" t="s">
        <v>0</v>
      </c>
      <c r="AD7" s="188" t="s">
        <v>130</v>
      </c>
      <c r="AE7" s="190" t="s">
        <v>132</v>
      </c>
      <c r="AF7" s="190" t="s">
        <v>131</v>
      </c>
      <c r="AG7" s="189" t="s">
        <v>0</v>
      </c>
      <c r="AH7" s="188" t="s">
        <v>130</v>
      </c>
      <c r="AI7" s="190" t="s">
        <v>132</v>
      </c>
      <c r="AJ7" s="190" t="s">
        <v>131</v>
      </c>
      <c r="AK7" s="189" t="s">
        <v>0</v>
      </c>
      <c r="AL7" s="188" t="s">
        <v>130</v>
      </c>
      <c r="AM7" s="190" t="s">
        <v>132</v>
      </c>
      <c r="AN7" s="190" t="s">
        <v>131</v>
      </c>
      <c r="AO7" s="189" t="s">
        <v>0</v>
      </c>
      <c r="AP7" s="188" t="s">
        <v>130</v>
      </c>
      <c r="AQ7" s="190" t="s">
        <v>132</v>
      </c>
      <c r="AR7" s="190" t="s">
        <v>131</v>
      </c>
      <c r="AS7" s="189" t="s">
        <v>0</v>
      </c>
      <c r="AT7" s="188" t="s">
        <v>130</v>
      </c>
      <c r="AU7" s="190" t="s">
        <v>132</v>
      </c>
      <c r="AV7" s="190" t="s">
        <v>131</v>
      </c>
      <c r="AW7" s="189" t="s">
        <v>0</v>
      </c>
      <c r="AX7" s="188" t="s">
        <v>130</v>
      </c>
      <c r="AY7" s="190" t="s">
        <v>132</v>
      </c>
      <c r="AZ7" s="190" t="s">
        <v>131</v>
      </c>
      <c r="BA7" s="189" t="s">
        <v>0</v>
      </c>
      <c r="BB7" s="188" t="s">
        <v>130</v>
      </c>
      <c r="BC7" s="190" t="s">
        <v>132</v>
      </c>
      <c r="BD7" s="190" t="s">
        <v>131</v>
      </c>
      <c r="BE7" s="189" t="s">
        <v>0</v>
      </c>
      <c r="BF7" s="188" t="s">
        <v>130</v>
      </c>
      <c r="BG7" s="190" t="s">
        <v>132</v>
      </c>
      <c r="BH7" s="190" t="s">
        <v>131</v>
      </c>
      <c r="BI7" s="189" t="s">
        <v>0</v>
      </c>
      <c r="BJ7" s="188" t="s">
        <v>130</v>
      </c>
      <c r="BK7" s="190" t="s">
        <v>132</v>
      </c>
      <c r="BL7" s="190" t="s">
        <v>131</v>
      </c>
      <c r="BM7" s="189" t="s">
        <v>0</v>
      </c>
      <c r="BN7" s="188" t="s">
        <v>130</v>
      </c>
      <c r="BO7" s="190" t="s">
        <v>132</v>
      </c>
      <c r="BP7" s="190" t="s">
        <v>131</v>
      </c>
      <c r="BQ7" s="189" t="s">
        <v>0</v>
      </c>
      <c r="BR7" s="188" t="s">
        <v>130</v>
      </c>
      <c r="BS7" s="190" t="s">
        <v>132</v>
      </c>
      <c r="BT7" s="190" t="s">
        <v>131</v>
      </c>
      <c r="BU7" s="189" t="s">
        <v>0</v>
      </c>
      <c r="BV7" s="188" t="s">
        <v>130</v>
      </c>
      <c r="BW7" s="190" t="s">
        <v>132</v>
      </c>
      <c r="BX7" s="190" t="s">
        <v>131</v>
      </c>
      <c r="BY7" s="189" t="s">
        <v>0</v>
      </c>
      <c r="BZ7" s="188" t="s">
        <v>130</v>
      </c>
      <c r="CA7" s="190" t="s">
        <v>132</v>
      </c>
      <c r="CB7" s="190" t="s">
        <v>131</v>
      </c>
      <c r="CC7" s="189" t="s">
        <v>0</v>
      </c>
      <c r="CD7" s="188" t="s">
        <v>130</v>
      </c>
      <c r="CE7" s="190" t="s">
        <v>132</v>
      </c>
      <c r="CF7" s="190" t="s">
        <v>131</v>
      </c>
      <c r="CG7" s="189" t="s">
        <v>0</v>
      </c>
      <c r="CH7" s="188" t="s">
        <v>130</v>
      </c>
      <c r="CI7" s="190" t="s">
        <v>132</v>
      </c>
      <c r="CJ7" s="190" t="s">
        <v>131</v>
      </c>
      <c r="CK7" s="189" t="s">
        <v>0</v>
      </c>
      <c r="CL7" s="188" t="s">
        <v>130</v>
      </c>
      <c r="CM7" s="190" t="s">
        <v>132</v>
      </c>
      <c r="CN7" s="190" t="s">
        <v>131</v>
      </c>
      <c r="CO7" s="189" t="s">
        <v>0</v>
      </c>
      <c r="CP7" s="188" t="s">
        <v>130</v>
      </c>
      <c r="CQ7" s="190" t="s">
        <v>132</v>
      </c>
      <c r="CR7" s="190" t="s">
        <v>131</v>
      </c>
      <c r="CS7" s="189" t="s">
        <v>0</v>
      </c>
      <c r="CT7" s="188" t="s">
        <v>130</v>
      </c>
      <c r="CU7" s="190" t="s">
        <v>132</v>
      </c>
      <c r="CV7" s="190" t="s">
        <v>131</v>
      </c>
      <c r="CW7" s="189" t="s">
        <v>0</v>
      </c>
      <c r="CX7" s="188" t="s">
        <v>130</v>
      </c>
      <c r="CY7" s="190" t="s">
        <v>132</v>
      </c>
      <c r="CZ7" s="190" t="s">
        <v>131</v>
      </c>
      <c r="DA7" s="189" t="s">
        <v>0</v>
      </c>
      <c r="DB7" s="188" t="s">
        <v>130</v>
      </c>
      <c r="DC7" s="190" t="s">
        <v>132</v>
      </c>
      <c r="DD7" s="190" t="s">
        <v>131</v>
      </c>
      <c r="DE7" s="189" t="s">
        <v>0</v>
      </c>
      <c r="DF7" s="188" t="s">
        <v>130</v>
      </c>
      <c r="DG7" s="190" t="s">
        <v>132</v>
      </c>
      <c r="DH7" s="190" t="s">
        <v>131</v>
      </c>
      <c r="DI7" s="189" t="s">
        <v>0</v>
      </c>
      <c r="DJ7" s="188" t="s">
        <v>130</v>
      </c>
      <c r="DK7" s="190" t="s">
        <v>132</v>
      </c>
      <c r="DL7" s="190" t="s">
        <v>131</v>
      </c>
      <c r="DM7" s="189" t="s">
        <v>0</v>
      </c>
      <c r="DN7" s="188" t="s">
        <v>130</v>
      </c>
      <c r="DO7" s="190" t="s">
        <v>132</v>
      </c>
      <c r="DP7" s="190" t="s">
        <v>131</v>
      </c>
      <c r="DQ7" s="189" t="s">
        <v>0</v>
      </c>
      <c r="DR7" s="188" t="s">
        <v>130</v>
      </c>
      <c r="DS7" s="190"/>
      <c r="DT7" s="190"/>
      <c r="DU7" s="189"/>
      <c r="DV7" s="188"/>
      <c r="DW7" s="190"/>
      <c r="DX7" s="190"/>
      <c r="DY7" s="189"/>
      <c r="DZ7" s="188"/>
      <c r="EA7" s="190"/>
      <c r="EB7" s="190"/>
      <c r="EC7" s="189"/>
      <c r="ED7" s="188"/>
      <c r="EE7" s="190"/>
      <c r="EF7" s="190"/>
      <c r="EG7" s="189"/>
      <c r="EH7" s="188"/>
      <c r="EI7" s="190"/>
      <c r="EJ7" s="190"/>
      <c r="EK7" s="189"/>
      <c r="EL7" s="188"/>
      <c r="EM7" s="190"/>
      <c r="EN7" s="190"/>
      <c r="EO7" s="189"/>
      <c r="EP7" s="188"/>
      <c r="EQ7" s="190"/>
      <c r="ER7" s="190"/>
      <c r="ES7" s="189"/>
      <c r="ET7" s="188"/>
      <c r="EU7" s="190"/>
      <c r="EV7" s="190"/>
      <c r="EW7" s="189"/>
      <c r="EX7" s="188"/>
      <c r="EY7" s="190"/>
      <c r="EZ7" s="190"/>
      <c r="FA7" s="189"/>
      <c r="FB7" s="188"/>
      <c r="FC7" s="190"/>
      <c r="FD7" s="190"/>
      <c r="FE7" s="189"/>
      <c r="FF7" s="188"/>
      <c r="FG7" s="190"/>
      <c r="FH7" s="190"/>
      <c r="FI7" s="189"/>
      <c r="FJ7" s="188"/>
      <c r="FK7" s="190"/>
      <c r="FL7" s="190"/>
      <c r="FM7" s="189"/>
      <c r="FN7" s="188"/>
      <c r="FO7" s="190"/>
      <c r="FP7" s="190"/>
      <c r="FQ7" s="189"/>
      <c r="FR7" s="188"/>
      <c r="FS7" s="190"/>
      <c r="FT7" s="190"/>
      <c r="FU7" s="189"/>
      <c r="FV7" s="188"/>
      <c r="FW7" s="190"/>
      <c r="FX7" s="190"/>
      <c r="FY7" s="189"/>
      <c r="FZ7" s="188"/>
      <c r="GA7" s="190"/>
      <c r="GB7" s="190"/>
      <c r="GC7" s="189"/>
      <c r="GD7" s="188"/>
      <c r="GE7" s="190"/>
      <c r="GF7" s="190"/>
      <c r="GG7" s="189"/>
      <c r="GH7" s="188"/>
      <c r="GI7" s="190"/>
      <c r="GJ7" s="190"/>
      <c r="GK7" s="189"/>
      <c r="GL7" s="188"/>
    </row>
    <row r="8" spans="1:194" ht="18.75" customHeight="1" x14ac:dyDescent="0.3">
      <c r="A8" s="332" t="s">
        <v>51</v>
      </c>
      <c r="B8" s="187" t="s">
        <v>113</v>
      </c>
      <c r="C8" s="185">
        <f>COUNTIF('registro de lectura'!AF80:AF119,"&gt;%0")/40</f>
        <v>0.625</v>
      </c>
      <c r="D8" s="185">
        <f>COUNTIF('registro de lectura'!AF80:AF119,"&gt;=%50")/40</f>
        <v>0.6</v>
      </c>
      <c r="E8" s="185">
        <f>COUNTIF('registro de lectura'!AF80:AF119,"&gt;=%70")/40</f>
        <v>0.35</v>
      </c>
      <c r="F8" s="185">
        <f>COUNTIF('registro de lectura'!AF80:AF119,"&gt;%85")/40</f>
        <v>0.15</v>
      </c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5"/>
      <c r="V8" s="185"/>
      <c r="W8" s="185"/>
      <c r="X8" s="185"/>
      <c r="Y8" s="185"/>
      <c r="Z8" s="185"/>
      <c r="AA8" s="185"/>
      <c r="AB8" s="185"/>
      <c r="AC8" s="185"/>
      <c r="AD8" s="185"/>
      <c r="AE8" s="185"/>
      <c r="AF8" s="185"/>
      <c r="AG8" s="185"/>
      <c r="AH8" s="185"/>
      <c r="AI8" s="185"/>
      <c r="AJ8" s="185"/>
      <c r="AK8" s="185"/>
      <c r="AL8" s="185"/>
      <c r="AM8" s="185"/>
      <c r="AN8" s="185"/>
      <c r="AO8" s="185"/>
      <c r="AP8" s="185"/>
      <c r="AQ8" s="185"/>
      <c r="AR8" s="185"/>
      <c r="AS8" s="185"/>
      <c r="AT8" s="185"/>
      <c r="AU8" s="185"/>
      <c r="AV8" s="185"/>
      <c r="AW8" s="185"/>
      <c r="AX8" s="185"/>
      <c r="AY8" s="185"/>
      <c r="AZ8" s="185"/>
      <c r="BA8" s="185"/>
      <c r="BB8" s="185"/>
      <c r="BC8" s="185"/>
      <c r="BD8" s="185"/>
      <c r="BE8" s="185"/>
      <c r="BF8" s="185"/>
      <c r="BG8" s="185"/>
      <c r="BH8" s="185"/>
      <c r="BI8" s="185"/>
      <c r="BJ8" s="185"/>
      <c r="BK8" s="185"/>
      <c r="BL8" s="185"/>
      <c r="BM8" s="185"/>
      <c r="BN8" s="185"/>
      <c r="BO8" s="185"/>
      <c r="BP8" s="185"/>
      <c r="BQ8" s="185"/>
      <c r="BR8" s="185"/>
      <c r="BS8" s="185"/>
      <c r="BT8" s="185"/>
      <c r="BU8" s="185"/>
      <c r="BV8" s="185"/>
      <c r="BW8" s="185"/>
      <c r="BX8" s="185"/>
      <c r="BY8" s="185"/>
      <c r="BZ8" s="185"/>
      <c r="CA8" s="185"/>
      <c r="CB8" s="185"/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185"/>
      <c r="DB8" s="185"/>
      <c r="DC8" s="185"/>
      <c r="DD8" s="185"/>
      <c r="DE8" s="185"/>
      <c r="DF8" s="185"/>
      <c r="DG8" s="185"/>
      <c r="DH8" s="185"/>
      <c r="DI8" s="185"/>
      <c r="DJ8" s="185"/>
      <c r="DK8" s="185"/>
      <c r="DL8" s="185"/>
      <c r="DM8" s="185"/>
      <c r="DN8" s="185"/>
      <c r="DO8" s="185"/>
      <c r="DP8" s="185"/>
      <c r="DQ8" s="185"/>
      <c r="DR8" s="185"/>
      <c r="DS8" s="185"/>
      <c r="DT8" s="185"/>
      <c r="DU8" s="185"/>
      <c r="DV8" s="185"/>
      <c r="DW8" s="185"/>
      <c r="DX8" s="185"/>
      <c r="DY8" s="185"/>
      <c r="DZ8" s="185"/>
      <c r="EA8" s="185"/>
      <c r="EB8" s="185"/>
      <c r="EC8" s="185"/>
      <c r="ED8" s="185"/>
      <c r="EE8" s="185"/>
      <c r="EF8" s="185"/>
      <c r="EG8" s="185"/>
      <c r="EH8" s="185"/>
      <c r="EI8" s="185"/>
      <c r="EJ8" s="185"/>
      <c r="EK8" s="185"/>
      <c r="EL8" s="185"/>
      <c r="EM8" s="185"/>
      <c r="EN8" s="185"/>
      <c r="EO8" s="185"/>
      <c r="EP8" s="185"/>
      <c r="EQ8" s="185"/>
      <c r="ER8" s="185"/>
      <c r="ES8" s="185"/>
      <c r="ET8" s="185"/>
      <c r="EU8" s="185"/>
      <c r="EV8" s="185"/>
      <c r="EW8" s="185"/>
      <c r="EX8" s="185"/>
      <c r="EY8" s="185"/>
      <c r="EZ8" s="185"/>
      <c r="FA8" s="185"/>
      <c r="FB8" s="185"/>
      <c r="FC8" s="185"/>
      <c r="FD8" s="185"/>
      <c r="FE8" s="185"/>
      <c r="FF8" s="185"/>
      <c r="FG8" s="185"/>
      <c r="FH8" s="185"/>
      <c r="FI8" s="185"/>
      <c r="FJ8" s="185"/>
      <c r="FK8" s="185"/>
      <c r="FL8" s="185"/>
      <c r="FM8" s="185"/>
      <c r="FN8" s="185"/>
      <c r="FO8" s="185"/>
      <c r="FP8" s="185"/>
      <c r="FQ8" s="185"/>
      <c r="FR8" s="185"/>
      <c r="FS8" s="185"/>
      <c r="FT8" s="185"/>
      <c r="FU8" s="185"/>
      <c r="FV8" s="185"/>
      <c r="FW8" s="185"/>
      <c r="FX8" s="185"/>
      <c r="FY8" s="185"/>
      <c r="FZ8" s="185"/>
      <c r="GA8" s="185"/>
      <c r="GB8" s="185"/>
      <c r="GC8" s="185"/>
      <c r="GD8" s="185"/>
      <c r="GE8" s="185"/>
      <c r="GF8" s="185"/>
      <c r="GG8" s="185"/>
      <c r="GH8" s="185"/>
      <c r="GI8" s="185"/>
      <c r="GJ8" s="185"/>
      <c r="GK8" s="185"/>
      <c r="GL8" s="185"/>
    </row>
    <row r="9" spans="1:194" ht="18" customHeight="1" x14ac:dyDescent="0.3">
      <c r="A9" s="332"/>
      <c r="B9" s="186" t="s">
        <v>112</v>
      </c>
      <c r="C9" s="185">
        <f>COUNTIF('registro de lectura'!AJ80:AJ119,"&gt;%0")/40</f>
        <v>0.7</v>
      </c>
      <c r="D9" s="185">
        <f>COUNTIF('registro de lectura'!AJ80:AJ119,"&gt;=%50")/40</f>
        <v>0.57499999999999996</v>
      </c>
      <c r="E9" s="185">
        <f>COUNTIF('registro de lectura'!AJ80:AJ119,"&gt;=0.70")/40</f>
        <v>0.375</v>
      </c>
      <c r="F9" s="185">
        <f>COUNTIF('registro de lectura'!AJ80:AJ119,"&gt;=0.85")/40</f>
        <v>7.4999999999999997E-2</v>
      </c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185"/>
      <c r="AA9" s="185"/>
      <c r="AB9" s="185"/>
      <c r="AC9" s="185"/>
      <c r="AD9" s="185"/>
      <c r="AE9" s="185"/>
      <c r="AF9" s="185"/>
      <c r="AG9" s="185"/>
      <c r="AH9" s="185"/>
      <c r="AI9" s="185"/>
      <c r="AJ9" s="185"/>
      <c r="AK9" s="185"/>
      <c r="AL9" s="185"/>
      <c r="AM9" s="185"/>
      <c r="AN9" s="185"/>
      <c r="AO9" s="185"/>
      <c r="AP9" s="185"/>
      <c r="AQ9" s="185"/>
      <c r="AR9" s="185"/>
      <c r="AS9" s="185"/>
      <c r="AT9" s="185"/>
      <c r="AU9" s="185"/>
      <c r="AV9" s="185"/>
      <c r="AW9" s="185"/>
      <c r="AX9" s="185"/>
      <c r="AY9" s="185"/>
      <c r="AZ9" s="185"/>
      <c r="BA9" s="185"/>
      <c r="BB9" s="185"/>
      <c r="BC9" s="185"/>
      <c r="BD9" s="185"/>
      <c r="BE9" s="185"/>
      <c r="BF9" s="185"/>
      <c r="BG9" s="185"/>
      <c r="BH9" s="185"/>
      <c r="BI9" s="185"/>
      <c r="BJ9" s="185"/>
      <c r="BK9" s="185"/>
      <c r="BL9" s="185"/>
      <c r="BM9" s="185"/>
      <c r="BN9" s="185"/>
      <c r="BO9" s="185"/>
      <c r="BP9" s="185"/>
      <c r="BQ9" s="185"/>
      <c r="BR9" s="185"/>
      <c r="BS9" s="185"/>
      <c r="BT9" s="185"/>
      <c r="BU9" s="185"/>
      <c r="BV9" s="185"/>
      <c r="BW9" s="185"/>
      <c r="BX9" s="185"/>
      <c r="BY9" s="185"/>
      <c r="BZ9" s="185"/>
      <c r="CA9" s="185"/>
      <c r="CB9" s="185"/>
      <c r="CC9" s="185"/>
      <c r="CD9" s="185"/>
      <c r="CE9" s="185"/>
      <c r="CF9" s="185"/>
      <c r="CG9" s="185"/>
      <c r="CH9" s="185"/>
      <c r="CI9" s="185"/>
      <c r="CJ9" s="185"/>
      <c r="CK9" s="185"/>
      <c r="CL9" s="185"/>
      <c r="CM9" s="185"/>
      <c r="CN9" s="185"/>
      <c r="CO9" s="185"/>
      <c r="CP9" s="185"/>
      <c r="CQ9" s="185"/>
      <c r="CR9" s="185"/>
      <c r="CS9" s="185"/>
      <c r="CT9" s="185"/>
      <c r="CU9" s="185"/>
      <c r="CV9" s="185"/>
      <c r="CW9" s="185"/>
      <c r="CX9" s="185"/>
      <c r="CY9" s="185"/>
      <c r="CZ9" s="185"/>
      <c r="DA9" s="185"/>
      <c r="DB9" s="185"/>
      <c r="DC9" s="185"/>
      <c r="DD9" s="185"/>
      <c r="DE9" s="185"/>
      <c r="DF9" s="185"/>
      <c r="DG9" s="185"/>
      <c r="DH9" s="185"/>
      <c r="DI9" s="185"/>
      <c r="DJ9" s="185"/>
      <c r="DK9" s="185"/>
      <c r="DL9" s="185"/>
      <c r="DM9" s="185"/>
      <c r="DN9" s="185"/>
      <c r="DO9" s="185"/>
      <c r="DP9" s="185"/>
      <c r="DQ9" s="185"/>
      <c r="DR9" s="185"/>
      <c r="DS9" s="185"/>
      <c r="DT9" s="185"/>
      <c r="DU9" s="185"/>
      <c r="DV9" s="185"/>
      <c r="DW9" s="185"/>
      <c r="DX9" s="185"/>
      <c r="DY9" s="185"/>
      <c r="DZ9" s="185"/>
      <c r="EA9" s="185"/>
      <c r="EB9" s="185"/>
      <c r="EC9" s="185"/>
      <c r="ED9" s="185"/>
      <c r="EE9" s="185"/>
      <c r="EF9" s="185"/>
      <c r="EG9" s="185"/>
      <c r="EH9" s="185"/>
      <c r="EI9" s="185"/>
      <c r="EJ9" s="185"/>
      <c r="EK9" s="185"/>
      <c r="EL9" s="185"/>
      <c r="EM9" s="185"/>
      <c r="EN9" s="185"/>
      <c r="EO9" s="185"/>
      <c r="EP9" s="185"/>
      <c r="EQ9" s="185"/>
      <c r="ER9" s="185"/>
      <c r="ES9" s="185"/>
      <c r="ET9" s="185"/>
      <c r="EU9" s="185"/>
      <c r="EV9" s="185"/>
      <c r="EW9" s="185"/>
      <c r="EX9" s="185"/>
      <c r="EY9" s="185"/>
      <c r="EZ9" s="185"/>
      <c r="FA9" s="185"/>
      <c r="FB9" s="185"/>
      <c r="FC9" s="185"/>
      <c r="FD9" s="185"/>
      <c r="FE9" s="185"/>
      <c r="FF9" s="185"/>
      <c r="FG9" s="185"/>
      <c r="FH9" s="185"/>
      <c r="FI9" s="185"/>
      <c r="FJ9" s="185"/>
      <c r="FK9" s="185"/>
      <c r="FL9" s="185"/>
      <c r="FM9" s="185"/>
      <c r="FN9" s="185"/>
      <c r="FO9" s="185"/>
      <c r="FP9" s="185"/>
      <c r="FQ9" s="185"/>
      <c r="FR9" s="185"/>
      <c r="FS9" s="185"/>
      <c r="FT9" s="185"/>
      <c r="FU9" s="185"/>
      <c r="FV9" s="185"/>
      <c r="FW9" s="185"/>
      <c r="FX9" s="185"/>
      <c r="FY9" s="185"/>
      <c r="FZ9" s="185"/>
      <c r="GA9" s="185"/>
      <c r="GB9" s="185"/>
      <c r="GC9" s="185"/>
      <c r="GD9" s="185"/>
      <c r="GE9" s="185"/>
      <c r="GF9" s="185"/>
      <c r="GG9" s="185"/>
      <c r="GH9" s="185"/>
      <c r="GI9" s="185"/>
      <c r="GJ9" s="185"/>
      <c r="GK9" s="185"/>
      <c r="GL9" s="185"/>
    </row>
    <row r="10" spans="1:194" x14ac:dyDescent="0.3">
      <c r="A10" s="332"/>
      <c r="B10" s="186" t="s">
        <v>114</v>
      </c>
      <c r="C10" s="185">
        <f>COUNTIF('registro de lectura'!AO80:AO119,"&gt;%0")/40</f>
        <v>0.625</v>
      </c>
      <c r="D10" s="185">
        <f>COUNTIF('registro de lectura'!AO80:AO119,"&gt;=0.55")/40</f>
        <v>0.17499999999999999</v>
      </c>
      <c r="E10" s="185">
        <f>COUNTIF('registro de lectura'!AO80:AO119,"&gt;0.70")/40</f>
        <v>0.05</v>
      </c>
      <c r="F10" s="185">
        <f>COUNTIF('registro de lectura'!AO80:AO119,"&gt;0.85")/40</f>
        <v>0.05</v>
      </c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5"/>
      <c r="AO10" s="185"/>
      <c r="AP10" s="185"/>
      <c r="AQ10" s="185"/>
      <c r="AR10" s="185"/>
      <c r="AS10" s="185"/>
      <c r="AT10" s="185"/>
      <c r="AU10" s="185"/>
      <c r="AV10" s="185"/>
      <c r="AW10" s="185"/>
      <c r="AX10" s="185"/>
      <c r="AY10" s="185"/>
      <c r="AZ10" s="185"/>
      <c r="BA10" s="185"/>
      <c r="BB10" s="185"/>
      <c r="BC10" s="185"/>
      <c r="BD10" s="185"/>
      <c r="BE10" s="185"/>
      <c r="BF10" s="185"/>
      <c r="BG10" s="185"/>
      <c r="BH10" s="185"/>
      <c r="BI10" s="185"/>
      <c r="BJ10" s="185"/>
      <c r="BK10" s="185"/>
      <c r="BL10" s="185"/>
      <c r="BM10" s="185"/>
      <c r="BN10" s="185"/>
      <c r="BO10" s="185"/>
      <c r="BP10" s="185"/>
      <c r="BQ10" s="185"/>
      <c r="BR10" s="185"/>
      <c r="BS10" s="185"/>
      <c r="BT10" s="185"/>
      <c r="BU10" s="185"/>
      <c r="BV10" s="185"/>
      <c r="BW10" s="185"/>
      <c r="BX10" s="185"/>
      <c r="BY10" s="185"/>
      <c r="BZ10" s="185"/>
      <c r="CA10" s="185"/>
      <c r="CB10" s="185"/>
      <c r="CC10" s="185"/>
      <c r="CD10" s="185"/>
      <c r="CE10" s="185"/>
      <c r="CF10" s="185"/>
      <c r="CG10" s="185"/>
      <c r="CH10" s="185"/>
      <c r="CI10" s="185"/>
      <c r="CJ10" s="185"/>
      <c r="CK10" s="185"/>
      <c r="CL10" s="185"/>
      <c r="CM10" s="185"/>
      <c r="CN10" s="185"/>
      <c r="CO10" s="185"/>
      <c r="CP10" s="185"/>
      <c r="CQ10" s="185"/>
      <c r="CR10" s="185"/>
      <c r="CS10" s="185"/>
      <c r="CT10" s="185"/>
      <c r="CU10" s="185"/>
      <c r="CV10" s="185"/>
      <c r="CW10" s="185"/>
      <c r="CX10" s="185"/>
      <c r="CY10" s="185"/>
      <c r="CZ10" s="185"/>
      <c r="DA10" s="185"/>
      <c r="DB10" s="185"/>
      <c r="DC10" s="185"/>
      <c r="DD10" s="185"/>
      <c r="DE10" s="185"/>
      <c r="DF10" s="185"/>
      <c r="DG10" s="185"/>
      <c r="DH10" s="185"/>
      <c r="DI10" s="185"/>
      <c r="DJ10" s="185"/>
      <c r="DK10" s="185"/>
      <c r="DL10" s="185"/>
      <c r="DM10" s="185"/>
      <c r="DN10" s="185"/>
      <c r="DO10" s="185"/>
      <c r="DP10" s="185"/>
      <c r="DQ10" s="185"/>
      <c r="DR10" s="185"/>
      <c r="DS10" s="185"/>
      <c r="DT10" s="185"/>
      <c r="DU10" s="185"/>
      <c r="DV10" s="185"/>
      <c r="DW10" s="185"/>
      <c r="DX10" s="185"/>
      <c r="DY10" s="185"/>
      <c r="DZ10" s="185"/>
      <c r="EA10" s="185"/>
      <c r="EB10" s="185"/>
      <c r="EC10" s="185"/>
      <c r="ED10" s="185"/>
      <c r="EE10" s="185"/>
      <c r="EF10" s="185"/>
      <c r="EG10" s="185"/>
      <c r="EH10" s="185"/>
      <c r="EI10" s="185"/>
      <c r="EJ10" s="185"/>
      <c r="EK10" s="185"/>
      <c r="EL10" s="185"/>
      <c r="EM10" s="185"/>
      <c r="EN10" s="185"/>
      <c r="EO10" s="185"/>
      <c r="EP10" s="185"/>
      <c r="EQ10" s="185"/>
      <c r="ER10" s="185"/>
      <c r="ES10" s="185"/>
      <c r="ET10" s="185"/>
      <c r="EU10" s="185"/>
      <c r="EV10" s="185"/>
      <c r="EW10" s="185"/>
      <c r="EX10" s="185"/>
      <c r="EY10" s="185"/>
      <c r="EZ10" s="185"/>
      <c r="FA10" s="185"/>
      <c r="FB10" s="185"/>
      <c r="FC10" s="185"/>
      <c r="FD10" s="185"/>
      <c r="FE10" s="185"/>
      <c r="FF10" s="185"/>
      <c r="FG10" s="185"/>
      <c r="FH10" s="185"/>
      <c r="FI10" s="185"/>
      <c r="FJ10" s="185"/>
      <c r="FK10" s="185"/>
      <c r="FL10" s="185"/>
      <c r="FM10" s="185"/>
      <c r="FN10" s="185"/>
      <c r="FO10" s="185"/>
      <c r="FP10" s="185"/>
      <c r="FQ10" s="185"/>
      <c r="FR10" s="185"/>
      <c r="FS10" s="185"/>
      <c r="FT10" s="185"/>
      <c r="FU10" s="185"/>
      <c r="FV10" s="185"/>
      <c r="FW10" s="185"/>
      <c r="FX10" s="185"/>
      <c r="FY10" s="185"/>
      <c r="FZ10" s="185"/>
      <c r="GA10" s="185"/>
      <c r="GB10" s="185"/>
      <c r="GC10" s="185"/>
      <c r="GD10" s="185"/>
      <c r="GE10" s="185"/>
      <c r="GF10" s="185"/>
      <c r="GG10" s="185"/>
      <c r="GH10" s="185"/>
      <c r="GI10" s="185"/>
      <c r="GJ10" s="185"/>
      <c r="GK10" s="185"/>
      <c r="GL10" s="185"/>
    </row>
    <row r="11" spans="1:194" x14ac:dyDescent="0.3"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184"/>
      <c r="BJ11" s="184"/>
      <c r="BK11" s="184"/>
      <c r="BL11" s="184"/>
      <c r="BM11" s="184"/>
      <c r="BN11" s="184"/>
      <c r="BO11" s="184"/>
      <c r="BP11" s="184"/>
      <c r="BQ11" s="184"/>
      <c r="BR11" s="184"/>
    </row>
    <row r="13" spans="1:194" x14ac:dyDescent="0.3">
      <c r="E13" t="s">
        <v>111</v>
      </c>
    </row>
    <row r="16" spans="1:194" ht="15" thickBot="1" x14ac:dyDescent="0.35"/>
    <row r="17" spans="1:194" ht="21.6" thickBot="1" x14ac:dyDescent="0.45">
      <c r="A17" s="339" t="s">
        <v>129</v>
      </c>
      <c r="B17" s="340"/>
      <c r="C17" s="325" t="s">
        <v>128</v>
      </c>
      <c r="D17" s="326"/>
      <c r="E17" s="326"/>
      <c r="F17" s="326"/>
      <c r="G17" s="326"/>
      <c r="H17" s="326"/>
      <c r="I17" s="326"/>
      <c r="J17" s="326"/>
      <c r="K17" s="326"/>
      <c r="L17" s="326"/>
      <c r="M17" s="326"/>
      <c r="N17" s="326"/>
      <c r="O17" s="326"/>
      <c r="P17" s="326"/>
      <c r="Q17" s="326"/>
      <c r="R17" s="326"/>
      <c r="S17" s="326"/>
      <c r="T17" s="326"/>
      <c r="U17" s="326"/>
      <c r="V17" s="326"/>
      <c r="W17" s="326"/>
      <c r="X17" s="326"/>
      <c r="Y17" s="326"/>
      <c r="Z17" s="326"/>
      <c r="AA17" s="326"/>
      <c r="AB17" s="326"/>
      <c r="AC17" s="326"/>
      <c r="AD17" s="326"/>
      <c r="AE17" s="326"/>
      <c r="AF17" s="326"/>
      <c r="AG17" s="326"/>
      <c r="AH17" s="327"/>
      <c r="AI17" s="325" t="s">
        <v>127</v>
      </c>
      <c r="AJ17" s="326"/>
      <c r="AK17" s="326"/>
      <c r="AL17" s="326"/>
      <c r="AM17" s="326"/>
      <c r="AN17" s="326"/>
      <c r="AO17" s="326"/>
      <c r="AP17" s="326"/>
      <c r="AQ17" s="326"/>
      <c r="AR17" s="326"/>
      <c r="AS17" s="326"/>
      <c r="AT17" s="326"/>
      <c r="AU17" s="326"/>
      <c r="AV17" s="326"/>
      <c r="AW17" s="326"/>
      <c r="AX17" s="326"/>
      <c r="AY17" s="326"/>
      <c r="AZ17" s="326"/>
      <c r="BA17" s="326"/>
      <c r="BB17" s="326"/>
      <c r="BC17" s="326"/>
      <c r="BD17" s="326"/>
      <c r="BE17" s="326"/>
      <c r="BF17" s="326"/>
      <c r="BG17" s="326"/>
      <c r="BH17" s="326"/>
      <c r="BI17" s="326"/>
      <c r="BJ17" s="326"/>
      <c r="BK17" s="326"/>
      <c r="BL17" s="326"/>
      <c r="BM17" s="326"/>
      <c r="BN17" s="327"/>
      <c r="BO17" s="325" t="s">
        <v>126</v>
      </c>
      <c r="BP17" s="326"/>
      <c r="BQ17" s="326"/>
      <c r="BR17" s="326"/>
      <c r="BS17" s="326"/>
      <c r="BT17" s="326"/>
      <c r="BU17" s="326"/>
      <c r="BV17" s="326"/>
      <c r="BW17" s="326"/>
      <c r="BX17" s="326"/>
      <c r="BY17" s="326"/>
      <c r="BZ17" s="326"/>
      <c r="CA17" s="326"/>
      <c r="CB17" s="326"/>
      <c r="CC17" s="326"/>
      <c r="CD17" s="326"/>
      <c r="CE17" s="326"/>
      <c r="CF17" s="326"/>
      <c r="CG17" s="326"/>
      <c r="CH17" s="326"/>
      <c r="CI17" s="326"/>
      <c r="CJ17" s="326"/>
      <c r="CK17" s="326"/>
      <c r="CL17" s="326"/>
      <c r="CM17" s="326"/>
      <c r="CN17" s="326"/>
      <c r="CO17" s="326"/>
      <c r="CP17" s="326"/>
      <c r="CQ17" s="326"/>
      <c r="CR17" s="326"/>
      <c r="CS17" s="326"/>
      <c r="CT17" s="327"/>
      <c r="CU17" s="322" t="s">
        <v>125</v>
      </c>
      <c r="CV17" s="322"/>
      <c r="CW17" s="322"/>
      <c r="CX17" s="322"/>
      <c r="CY17" s="322"/>
      <c r="CZ17" s="322"/>
      <c r="DA17" s="322"/>
      <c r="DB17" s="322"/>
      <c r="DC17" s="322"/>
      <c r="DD17" s="322"/>
      <c r="DE17" s="322"/>
      <c r="DF17" s="322"/>
      <c r="DG17" s="322"/>
      <c r="DH17" s="322"/>
      <c r="DI17" s="322"/>
      <c r="DJ17" s="322"/>
      <c r="DK17" s="322"/>
      <c r="DL17" s="322"/>
      <c r="DM17" s="322"/>
      <c r="DN17" s="322"/>
      <c r="DO17" s="322"/>
      <c r="DP17" s="322"/>
      <c r="DQ17" s="322"/>
      <c r="DR17" s="322"/>
      <c r="DS17" s="322"/>
      <c r="DT17" s="322"/>
      <c r="DU17" s="322"/>
      <c r="DV17" s="322"/>
      <c r="DW17" s="322"/>
      <c r="DX17" s="322"/>
      <c r="DY17" s="322"/>
      <c r="DZ17" s="322"/>
      <c r="EA17" s="323" t="s">
        <v>124</v>
      </c>
      <c r="EB17" s="323"/>
      <c r="EC17" s="323"/>
      <c r="ED17" s="323"/>
      <c r="EE17" s="323"/>
      <c r="EF17" s="323"/>
      <c r="EG17" s="323"/>
      <c r="EH17" s="323"/>
      <c r="EI17" s="323"/>
      <c r="EJ17" s="323"/>
      <c r="EK17" s="323"/>
      <c r="EL17" s="323"/>
      <c r="EM17" s="323"/>
      <c r="EN17" s="323"/>
      <c r="EO17" s="323"/>
      <c r="EP17" s="323"/>
      <c r="EQ17" s="323"/>
      <c r="ER17" s="323"/>
      <c r="ES17" s="323"/>
      <c r="ET17" s="323"/>
      <c r="EU17" s="323"/>
      <c r="EV17" s="323"/>
      <c r="EW17" s="323"/>
      <c r="EX17" s="323"/>
      <c r="EY17" s="323"/>
      <c r="EZ17" s="323"/>
      <c r="FA17" s="323"/>
      <c r="FB17" s="323"/>
      <c r="FC17" s="323"/>
      <c r="FD17" s="323"/>
      <c r="FE17" s="323"/>
      <c r="FF17" s="323"/>
      <c r="FG17" s="324" t="s">
        <v>123</v>
      </c>
      <c r="FH17" s="324"/>
      <c r="FI17" s="324"/>
      <c r="FJ17" s="324"/>
      <c r="FK17" s="324"/>
      <c r="FL17" s="324"/>
      <c r="FM17" s="324"/>
      <c r="FN17" s="324"/>
      <c r="FO17" s="324"/>
      <c r="FP17" s="324"/>
      <c r="FQ17" s="324"/>
      <c r="FR17" s="324"/>
      <c r="FS17" s="324"/>
      <c r="FT17" s="324"/>
      <c r="FU17" s="324"/>
      <c r="FV17" s="324"/>
      <c r="FW17" s="324"/>
      <c r="FX17" s="324"/>
      <c r="FY17" s="324"/>
      <c r="FZ17" s="324"/>
      <c r="GA17" s="324"/>
      <c r="GB17" s="324"/>
      <c r="GC17" s="324"/>
      <c r="GD17" s="324"/>
      <c r="GE17" s="324"/>
      <c r="GF17" s="324"/>
      <c r="GG17" s="324"/>
      <c r="GH17" s="324"/>
      <c r="GI17" s="324"/>
      <c r="GJ17" s="324"/>
      <c r="GK17" s="324"/>
      <c r="GL17" s="324"/>
    </row>
    <row r="18" spans="1:194" ht="26.4" thickBot="1" x14ac:dyDescent="0.55000000000000004">
      <c r="A18" s="337" t="s">
        <v>135</v>
      </c>
      <c r="B18" s="338"/>
      <c r="C18" s="318" t="s">
        <v>122</v>
      </c>
      <c r="D18" s="319"/>
      <c r="E18" s="319"/>
      <c r="F18" s="320"/>
      <c r="G18" s="318" t="s">
        <v>121</v>
      </c>
      <c r="H18" s="319"/>
      <c r="I18" s="319"/>
      <c r="J18" s="320"/>
      <c r="K18" s="318" t="s">
        <v>120</v>
      </c>
      <c r="L18" s="319"/>
      <c r="M18" s="319"/>
      <c r="N18" s="320"/>
      <c r="O18" s="318" t="s">
        <v>119</v>
      </c>
      <c r="P18" s="319"/>
      <c r="Q18" s="319"/>
      <c r="R18" s="320"/>
      <c r="S18" s="318" t="s">
        <v>118</v>
      </c>
      <c r="T18" s="319"/>
      <c r="U18" s="319"/>
      <c r="V18" s="320"/>
      <c r="W18" s="318" t="s">
        <v>117</v>
      </c>
      <c r="X18" s="319"/>
      <c r="Y18" s="319"/>
      <c r="Z18" s="320"/>
      <c r="AA18" s="318" t="s">
        <v>116</v>
      </c>
      <c r="AB18" s="319"/>
      <c r="AC18" s="319"/>
      <c r="AD18" s="320"/>
      <c r="AE18" s="328" t="s">
        <v>115</v>
      </c>
      <c r="AF18" s="329"/>
      <c r="AG18" s="329"/>
      <c r="AH18" s="330"/>
      <c r="AI18" s="328" t="s">
        <v>122</v>
      </c>
      <c r="AJ18" s="329"/>
      <c r="AK18" s="329"/>
      <c r="AL18" s="330"/>
      <c r="AM18" s="328" t="s">
        <v>121</v>
      </c>
      <c r="AN18" s="329"/>
      <c r="AO18" s="329"/>
      <c r="AP18" s="330"/>
      <c r="AQ18" s="328" t="s">
        <v>120</v>
      </c>
      <c r="AR18" s="329"/>
      <c r="AS18" s="329"/>
      <c r="AT18" s="330"/>
      <c r="AU18" s="328" t="s">
        <v>119</v>
      </c>
      <c r="AV18" s="329"/>
      <c r="AW18" s="329"/>
      <c r="AX18" s="330"/>
      <c r="AY18" s="328" t="s">
        <v>118</v>
      </c>
      <c r="AZ18" s="329"/>
      <c r="BA18" s="329"/>
      <c r="BB18" s="330"/>
      <c r="BC18" s="328" t="s">
        <v>117</v>
      </c>
      <c r="BD18" s="329"/>
      <c r="BE18" s="329"/>
      <c r="BF18" s="330"/>
      <c r="BG18" s="328" t="s">
        <v>116</v>
      </c>
      <c r="BH18" s="329"/>
      <c r="BI18" s="329"/>
      <c r="BJ18" s="330"/>
      <c r="BK18" s="328" t="s">
        <v>115</v>
      </c>
      <c r="BL18" s="329"/>
      <c r="BM18" s="329"/>
      <c r="BN18" s="330"/>
      <c r="BO18" s="328" t="s">
        <v>122</v>
      </c>
      <c r="BP18" s="329"/>
      <c r="BQ18" s="329"/>
      <c r="BR18" s="330"/>
      <c r="BS18" s="328" t="s">
        <v>121</v>
      </c>
      <c r="BT18" s="329"/>
      <c r="BU18" s="329"/>
      <c r="BV18" s="330"/>
      <c r="BW18" s="328" t="s">
        <v>120</v>
      </c>
      <c r="BX18" s="329"/>
      <c r="BY18" s="329"/>
      <c r="BZ18" s="330"/>
      <c r="CA18" s="328" t="s">
        <v>119</v>
      </c>
      <c r="CB18" s="329"/>
      <c r="CC18" s="329"/>
      <c r="CD18" s="330"/>
      <c r="CE18" s="328" t="s">
        <v>118</v>
      </c>
      <c r="CF18" s="329"/>
      <c r="CG18" s="329"/>
      <c r="CH18" s="330"/>
      <c r="CI18" s="328" t="s">
        <v>117</v>
      </c>
      <c r="CJ18" s="329"/>
      <c r="CK18" s="329"/>
      <c r="CL18" s="330"/>
      <c r="CM18" s="328" t="s">
        <v>116</v>
      </c>
      <c r="CN18" s="329"/>
      <c r="CO18" s="329"/>
      <c r="CP18" s="330"/>
      <c r="CQ18" s="328" t="s">
        <v>115</v>
      </c>
      <c r="CR18" s="329"/>
      <c r="CS18" s="329"/>
      <c r="CT18" s="330"/>
      <c r="CU18" s="321" t="s">
        <v>122</v>
      </c>
      <c r="CV18" s="321"/>
      <c r="CW18" s="321"/>
      <c r="CX18" s="321"/>
      <c r="CY18" s="321" t="s">
        <v>121</v>
      </c>
      <c r="CZ18" s="321"/>
      <c r="DA18" s="321"/>
      <c r="DB18" s="321"/>
      <c r="DC18" s="321" t="s">
        <v>120</v>
      </c>
      <c r="DD18" s="321"/>
      <c r="DE18" s="321"/>
      <c r="DF18" s="321"/>
      <c r="DG18" s="321" t="s">
        <v>119</v>
      </c>
      <c r="DH18" s="321"/>
      <c r="DI18" s="321"/>
      <c r="DJ18" s="321"/>
      <c r="DK18" s="321" t="s">
        <v>118</v>
      </c>
      <c r="DL18" s="321"/>
      <c r="DM18" s="321"/>
      <c r="DN18" s="321"/>
      <c r="DO18" s="321" t="s">
        <v>117</v>
      </c>
      <c r="DP18" s="321"/>
      <c r="DQ18" s="321"/>
      <c r="DR18" s="321"/>
      <c r="DS18" s="321" t="s">
        <v>116</v>
      </c>
      <c r="DT18" s="321"/>
      <c r="DU18" s="321"/>
      <c r="DV18" s="321"/>
      <c r="DW18" s="321" t="s">
        <v>115</v>
      </c>
      <c r="DX18" s="321"/>
      <c r="DY18" s="321"/>
      <c r="DZ18" s="321"/>
      <c r="EA18" s="321" t="s">
        <v>122</v>
      </c>
      <c r="EB18" s="321"/>
      <c r="EC18" s="321"/>
      <c r="ED18" s="321"/>
      <c r="EE18" s="321" t="s">
        <v>121</v>
      </c>
      <c r="EF18" s="321"/>
      <c r="EG18" s="321"/>
      <c r="EH18" s="321"/>
      <c r="EI18" s="321" t="s">
        <v>120</v>
      </c>
      <c r="EJ18" s="321"/>
      <c r="EK18" s="321"/>
      <c r="EL18" s="321"/>
      <c r="EM18" s="321" t="s">
        <v>119</v>
      </c>
      <c r="EN18" s="321"/>
      <c r="EO18" s="321"/>
      <c r="EP18" s="321"/>
      <c r="EQ18" s="321" t="s">
        <v>118</v>
      </c>
      <c r="ER18" s="321"/>
      <c r="ES18" s="321"/>
      <c r="ET18" s="321"/>
      <c r="EU18" s="321" t="s">
        <v>117</v>
      </c>
      <c r="EV18" s="321"/>
      <c r="EW18" s="321"/>
      <c r="EX18" s="321"/>
      <c r="EY18" s="321" t="s">
        <v>116</v>
      </c>
      <c r="EZ18" s="321"/>
      <c r="FA18" s="321"/>
      <c r="FB18" s="321"/>
      <c r="FC18" s="321" t="s">
        <v>115</v>
      </c>
      <c r="FD18" s="321"/>
      <c r="FE18" s="321"/>
      <c r="FF18" s="321"/>
      <c r="FG18" s="321" t="s">
        <v>122</v>
      </c>
      <c r="FH18" s="321"/>
      <c r="FI18" s="321"/>
      <c r="FJ18" s="321"/>
      <c r="FK18" s="321" t="s">
        <v>121</v>
      </c>
      <c r="FL18" s="321"/>
      <c r="FM18" s="321"/>
      <c r="FN18" s="321"/>
      <c r="FO18" s="321" t="s">
        <v>120</v>
      </c>
      <c r="FP18" s="321"/>
      <c r="FQ18" s="321"/>
      <c r="FR18" s="321"/>
      <c r="FS18" s="321" t="s">
        <v>119</v>
      </c>
      <c r="FT18" s="321"/>
      <c r="FU18" s="321"/>
      <c r="FV18" s="321"/>
      <c r="FW18" s="321" t="s">
        <v>118</v>
      </c>
      <c r="FX18" s="321"/>
      <c r="FY18" s="321"/>
      <c r="FZ18" s="321"/>
      <c r="GA18" s="321" t="s">
        <v>117</v>
      </c>
      <c r="GB18" s="321"/>
      <c r="GC18" s="321"/>
      <c r="GD18" s="321"/>
      <c r="GE18" s="321" t="s">
        <v>116</v>
      </c>
      <c r="GF18" s="321"/>
      <c r="GG18" s="321"/>
      <c r="GH18" s="321"/>
      <c r="GI18" s="321" t="s">
        <v>115</v>
      </c>
      <c r="GJ18" s="321"/>
      <c r="GK18" s="321"/>
      <c r="GL18" s="321"/>
    </row>
    <row r="19" spans="1:194" x14ac:dyDescent="0.3">
      <c r="A19" s="334" t="s">
        <v>51</v>
      </c>
      <c r="B19" s="183" t="s">
        <v>113</v>
      </c>
      <c r="C19" s="315"/>
      <c r="D19" s="316"/>
      <c r="E19" s="316"/>
      <c r="F19" s="317"/>
      <c r="G19" s="309"/>
      <c r="H19" s="310"/>
      <c r="I19" s="310"/>
      <c r="J19" s="311"/>
      <c r="K19" s="309"/>
      <c r="L19" s="310"/>
      <c r="M19" s="310"/>
      <c r="N19" s="311"/>
      <c r="O19" s="309"/>
      <c r="P19" s="310"/>
      <c r="Q19" s="310"/>
      <c r="R19" s="311"/>
      <c r="S19" s="309"/>
      <c r="T19" s="310"/>
      <c r="U19" s="310"/>
      <c r="V19" s="311"/>
      <c r="W19" s="309"/>
      <c r="X19" s="310"/>
      <c r="Y19" s="310"/>
      <c r="Z19" s="311"/>
      <c r="AA19" s="309"/>
      <c r="AB19" s="310"/>
      <c r="AC19" s="310"/>
      <c r="AD19" s="311"/>
      <c r="AE19" s="309"/>
      <c r="AF19" s="310"/>
      <c r="AG19" s="310"/>
      <c r="AH19" s="311"/>
      <c r="AI19" s="180"/>
      <c r="AJ19" s="180"/>
      <c r="AK19" s="180"/>
      <c r="AL19" s="180"/>
      <c r="AM19" s="180"/>
      <c r="AN19" s="180"/>
      <c r="AO19" s="180"/>
      <c r="AP19" s="180"/>
      <c r="AQ19" s="180"/>
      <c r="AR19" s="180"/>
      <c r="AS19" s="180"/>
      <c r="AT19" s="180"/>
      <c r="AU19" s="180"/>
      <c r="AV19" s="180"/>
      <c r="AW19" s="180"/>
      <c r="AX19" s="180"/>
      <c r="AY19" s="180"/>
      <c r="AZ19" s="180"/>
      <c r="BA19" s="180"/>
      <c r="BB19" s="180"/>
      <c r="BC19" s="180"/>
      <c r="BD19" s="180"/>
      <c r="BE19" s="180"/>
      <c r="BF19" s="180"/>
      <c r="BG19" s="180"/>
      <c r="BH19" s="180"/>
      <c r="BI19" s="180"/>
      <c r="BJ19" s="180"/>
      <c r="BK19" s="180"/>
      <c r="BL19" s="180"/>
      <c r="BM19" s="180"/>
      <c r="BN19" s="180"/>
      <c r="BO19" s="180"/>
      <c r="BP19" s="180"/>
      <c r="BQ19" s="180"/>
      <c r="BR19" s="180"/>
      <c r="BS19" s="180"/>
      <c r="BT19" s="180"/>
      <c r="BU19" s="180"/>
      <c r="BV19" s="180"/>
      <c r="BW19" s="180"/>
      <c r="BX19" s="180"/>
      <c r="BY19" s="180"/>
      <c r="BZ19" s="180"/>
      <c r="CA19" s="180"/>
      <c r="CB19" s="180"/>
      <c r="CC19" s="180"/>
      <c r="CD19" s="180"/>
      <c r="CE19" s="180"/>
      <c r="CF19" s="180"/>
      <c r="CG19" s="180"/>
      <c r="CH19" s="180"/>
      <c r="CI19" s="180"/>
      <c r="CJ19" s="180"/>
      <c r="CK19" s="180"/>
      <c r="CL19" s="180"/>
      <c r="CM19" s="180"/>
      <c r="CN19" s="180"/>
      <c r="CO19" s="180"/>
      <c r="CP19" s="180"/>
      <c r="CQ19" s="180"/>
      <c r="CR19" s="180"/>
      <c r="CS19" s="180"/>
      <c r="CT19" s="180"/>
      <c r="CU19" s="180"/>
      <c r="CV19" s="180"/>
      <c r="CW19" s="180"/>
      <c r="CX19" s="180"/>
      <c r="CY19" s="180"/>
      <c r="CZ19" s="180"/>
      <c r="DA19" s="180"/>
      <c r="DB19" s="180"/>
      <c r="DC19" s="180"/>
      <c r="DD19" s="180"/>
      <c r="DE19" s="180"/>
      <c r="DF19" s="180"/>
      <c r="DG19" s="180"/>
      <c r="DH19" s="180"/>
      <c r="DI19" s="180"/>
      <c r="DJ19" s="180"/>
      <c r="DK19" s="180"/>
      <c r="DL19" s="180"/>
      <c r="DM19" s="180"/>
      <c r="DN19" s="180"/>
      <c r="DO19" s="180"/>
      <c r="DP19" s="180"/>
      <c r="DQ19" s="180"/>
      <c r="DR19" s="180"/>
      <c r="DS19" s="180"/>
      <c r="DT19" s="180"/>
      <c r="DU19" s="180"/>
      <c r="DV19" s="180"/>
      <c r="DW19" s="180"/>
      <c r="DX19" s="180"/>
      <c r="DY19" s="180"/>
      <c r="DZ19" s="180"/>
      <c r="EA19" s="180"/>
      <c r="EB19" s="180"/>
      <c r="EC19" s="180"/>
      <c r="ED19" s="180"/>
      <c r="EE19" s="180"/>
      <c r="EF19" s="180"/>
      <c r="EG19" s="180"/>
      <c r="EH19" s="180"/>
      <c r="EI19" s="180"/>
      <c r="EJ19" s="180"/>
      <c r="EK19" s="180"/>
      <c r="EL19" s="180"/>
      <c r="EM19" s="180"/>
      <c r="EN19" s="180"/>
      <c r="EO19" s="180"/>
      <c r="EP19" s="180"/>
      <c r="EQ19" s="180"/>
      <c r="ER19" s="180"/>
      <c r="ES19" s="180"/>
      <c r="ET19" s="180"/>
      <c r="EU19" s="180"/>
      <c r="EV19" s="180"/>
      <c r="EW19" s="180"/>
      <c r="EX19" s="180"/>
      <c r="EY19" s="180"/>
      <c r="EZ19" s="180"/>
      <c r="FA19" s="180"/>
      <c r="FB19" s="180"/>
      <c r="FC19" s="180"/>
      <c r="FD19" s="180"/>
      <c r="FE19" s="180"/>
      <c r="FF19" s="180"/>
      <c r="FG19" s="180"/>
      <c r="FH19" s="180"/>
      <c r="FI19" s="180"/>
      <c r="FJ19" s="180"/>
      <c r="FK19" s="180"/>
      <c r="FL19" s="180"/>
      <c r="FM19" s="180"/>
      <c r="FN19" s="180"/>
      <c r="FO19" s="180"/>
      <c r="FP19" s="180"/>
      <c r="FQ19" s="180"/>
      <c r="FR19" s="180"/>
      <c r="FS19" s="180"/>
      <c r="FT19" s="180"/>
      <c r="FU19" s="180"/>
      <c r="FV19" s="180"/>
      <c r="FW19" s="180"/>
      <c r="FX19" s="180"/>
      <c r="FY19" s="180"/>
      <c r="FZ19" s="180"/>
      <c r="GA19" s="180"/>
      <c r="GB19" s="180"/>
      <c r="GC19" s="180"/>
      <c r="GD19" s="180"/>
      <c r="GE19" s="180"/>
      <c r="GF19" s="180"/>
      <c r="GG19" s="180"/>
      <c r="GH19" s="180"/>
      <c r="GI19" s="180"/>
      <c r="GJ19" s="180"/>
      <c r="GK19" s="180"/>
      <c r="GL19" s="180"/>
    </row>
    <row r="20" spans="1:194" x14ac:dyDescent="0.3">
      <c r="A20" s="335"/>
      <c r="B20" s="182" t="s">
        <v>112</v>
      </c>
      <c r="C20" s="312"/>
      <c r="D20" s="313"/>
      <c r="E20" s="313"/>
      <c r="F20" s="314"/>
      <c r="G20" s="309"/>
      <c r="H20" s="310"/>
      <c r="I20" s="310"/>
      <c r="J20" s="311"/>
      <c r="K20" s="309"/>
      <c r="L20" s="310"/>
      <c r="M20" s="310"/>
      <c r="N20" s="311"/>
      <c r="O20" s="309"/>
      <c r="P20" s="310"/>
      <c r="Q20" s="310"/>
      <c r="R20" s="311"/>
      <c r="S20" s="309"/>
      <c r="T20" s="310"/>
      <c r="U20" s="310"/>
      <c r="V20" s="311"/>
      <c r="W20" s="309"/>
      <c r="X20" s="310"/>
      <c r="Y20" s="310"/>
      <c r="Z20" s="311"/>
      <c r="AA20" s="309"/>
      <c r="AB20" s="310"/>
      <c r="AC20" s="310"/>
      <c r="AD20" s="311"/>
      <c r="AE20" s="309"/>
      <c r="AF20" s="310"/>
      <c r="AG20" s="310"/>
      <c r="AH20" s="311"/>
      <c r="AI20" s="180"/>
      <c r="AJ20" s="180"/>
      <c r="AK20" s="180"/>
      <c r="AL20" s="180"/>
      <c r="AM20" s="180"/>
      <c r="AN20" s="180"/>
      <c r="AO20" s="180"/>
      <c r="AP20" s="180"/>
      <c r="AQ20" s="180"/>
      <c r="AR20" s="180"/>
      <c r="AS20" s="180"/>
      <c r="AT20" s="180"/>
      <c r="AU20" s="180"/>
      <c r="AV20" s="180"/>
      <c r="AW20" s="180"/>
      <c r="AX20" s="180"/>
      <c r="AY20" s="180"/>
      <c r="AZ20" s="180"/>
      <c r="BA20" s="180"/>
      <c r="BB20" s="180"/>
      <c r="BC20" s="180"/>
      <c r="BD20" s="180"/>
      <c r="BE20" s="180"/>
      <c r="BF20" s="180"/>
      <c r="BG20" s="180"/>
      <c r="BH20" s="180"/>
      <c r="BI20" s="180"/>
      <c r="BJ20" s="180"/>
      <c r="BK20" s="180"/>
      <c r="BL20" s="180"/>
      <c r="BM20" s="180"/>
      <c r="BN20" s="180"/>
      <c r="BO20" s="180"/>
      <c r="BP20" s="180"/>
      <c r="BQ20" s="180"/>
      <c r="BR20" s="180"/>
      <c r="BS20" s="180"/>
      <c r="BT20" s="180"/>
      <c r="BU20" s="180"/>
      <c r="BV20" s="180"/>
      <c r="BW20" s="180"/>
      <c r="BX20" s="180"/>
      <c r="BY20" s="180"/>
      <c r="BZ20" s="180"/>
      <c r="CA20" s="180"/>
      <c r="CB20" s="180"/>
      <c r="CC20" s="180"/>
      <c r="CD20" s="180"/>
      <c r="CE20" s="180"/>
      <c r="CF20" s="180"/>
      <c r="CG20" s="180"/>
      <c r="CH20" s="180"/>
      <c r="CI20" s="180"/>
      <c r="CJ20" s="180"/>
      <c r="CK20" s="180"/>
      <c r="CL20" s="180"/>
      <c r="CM20" s="180"/>
      <c r="CN20" s="180"/>
      <c r="CO20" s="180"/>
      <c r="CP20" s="180"/>
      <c r="CQ20" s="180"/>
      <c r="CR20" s="180"/>
      <c r="CS20" s="180"/>
      <c r="CT20" s="180"/>
      <c r="CU20" s="180"/>
      <c r="CV20" s="180"/>
      <c r="CW20" s="180"/>
      <c r="CX20" s="180"/>
      <c r="CY20" s="180"/>
      <c r="CZ20" s="180"/>
      <c r="DA20" s="180"/>
      <c r="DB20" s="180"/>
      <c r="DC20" s="180"/>
      <c r="DD20" s="180"/>
      <c r="DE20" s="180"/>
      <c r="DF20" s="180"/>
      <c r="DG20" s="180"/>
      <c r="DH20" s="180"/>
      <c r="DI20" s="180"/>
      <c r="DJ20" s="180"/>
      <c r="DK20" s="180"/>
      <c r="DL20" s="180"/>
      <c r="DM20" s="180"/>
      <c r="DN20" s="180"/>
      <c r="DO20" s="180"/>
      <c r="DP20" s="180"/>
      <c r="DQ20" s="180"/>
      <c r="DR20" s="180"/>
      <c r="DS20" s="180"/>
      <c r="DT20" s="180"/>
      <c r="DU20" s="180"/>
      <c r="DV20" s="180"/>
      <c r="DW20" s="180"/>
      <c r="DX20" s="180"/>
      <c r="DY20" s="180"/>
      <c r="DZ20" s="180"/>
      <c r="EA20" s="180"/>
      <c r="EB20" s="180"/>
      <c r="EC20" s="180"/>
      <c r="ED20" s="180"/>
      <c r="EE20" s="180"/>
      <c r="EF20" s="180"/>
      <c r="EG20" s="180"/>
      <c r="EH20" s="180"/>
      <c r="EI20" s="180"/>
      <c r="EJ20" s="180"/>
      <c r="EK20" s="180"/>
      <c r="EL20" s="180"/>
      <c r="EM20" s="180"/>
      <c r="EN20" s="180"/>
      <c r="EO20" s="180"/>
      <c r="EP20" s="180"/>
      <c r="EQ20" s="180"/>
      <c r="ER20" s="180"/>
      <c r="ES20" s="180"/>
      <c r="ET20" s="180"/>
      <c r="EU20" s="180"/>
      <c r="EV20" s="180"/>
      <c r="EW20" s="180"/>
      <c r="EX20" s="180"/>
      <c r="EY20" s="180"/>
      <c r="EZ20" s="180"/>
      <c r="FA20" s="180"/>
      <c r="FB20" s="180"/>
      <c r="FC20" s="180"/>
      <c r="FD20" s="180"/>
      <c r="FE20" s="180"/>
      <c r="FF20" s="180"/>
      <c r="FG20" s="180"/>
      <c r="FH20" s="180"/>
      <c r="FI20" s="180"/>
      <c r="FJ20" s="180"/>
      <c r="FK20" s="180"/>
      <c r="FL20" s="180"/>
      <c r="FM20" s="180"/>
      <c r="FN20" s="180"/>
      <c r="FO20" s="180"/>
      <c r="FP20" s="180"/>
      <c r="FQ20" s="180"/>
      <c r="FR20" s="180"/>
      <c r="FS20" s="180"/>
      <c r="FT20" s="180"/>
      <c r="FU20" s="180"/>
      <c r="FV20" s="180"/>
      <c r="FW20" s="180"/>
      <c r="FX20" s="180"/>
      <c r="FY20" s="180"/>
      <c r="FZ20" s="180"/>
      <c r="GA20" s="180"/>
      <c r="GB20" s="180"/>
      <c r="GC20" s="180"/>
      <c r="GD20" s="180"/>
      <c r="GE20" s="180"/>
      <c r="GF20" s="180"/>
      <c r="GG20" s="180"/>
      <c r="GH20" s="180"/>
      <c r="GI20" s="180"/>
      <c r="GJ20" s="180"/>
      <c r="GK20" s="180"/>
      <c r="GL20" s="180"/>
    </row>
    <row r="21" spans="1:194" ht="15" customHeight="1" thickBot="1" x14ac:dyDescent="0.35">
      <c r="A21" s="336"/>
      <c r="B21" s="181" t="s">
        <v>114</v>
      </c>
      <c r="C21" s="312"/>
      <c r="D21" s="313"/>
      <c r="E21" s="313"/>
      <c r="F21" s="314"/>
      <c r="G21" s="309"/>
      <c r="H21" s="310"/>
      <c r="I21" s="310"/>
      <c r="J21" s="311"/>
      <c r="K21" s="309"/>
      <c r="L21" s="310"/>
      <c r="M21" s="310"/>
      <c r="N21" s="311"/>
      <c r="O21" s="309"/>
      <c r="P21" s="310"/>
      <c r="Q21" s="310"/>
      <c r="R21" s="311"/>
      <c r="S21" s="309"/>
      <c r="T21" s="310"/>
      <c r="U21" s="310"/>
      <c r="V21" s="311"/>
      <c r="W21" s="309"/>
      <c r="X21" s="310"/>
      <c r="Y21" s="310"/>
      <c r="Z21" s="311"/>
      <c r="AA21" s="309"/>
      <c r="AB21" s="310"/>
      <c r="AC21" s="310"/>
      <c r="AD21" s="311"/>
      <c r="AE21" s="309"/>
      <c r="AF21" s="310"/>
      <c r="AG21" s="310"/>
      <c r="AH21" s="311"/>
      <c r="AI21" s="180"/>
      <c r="AJ21" s="180"/>
      <c r="AK21" s="180"/>
      <c r="AL21" s="180"/>
      <c r="AM21" s="180"/>
      <c r="AN21" s="180"/>
      <c r="AO21" s="180"/>
      <c r="AP21" s="180"/>
      <c r="AQ21" s="180"/>
      <c r="AR21" s="180"/>
      <c r="AS21" s="180"/>
      <c r="AT21" s="180"/>
      <c r="AU21" s="180"/>
      <c r="AV21" s="180"/>
      <c r="AW21" s="180"/>
      <c r="AX21" s="180"/>
      <c r="AY21" s="180"/>
      <c r="AZ21" s="180"/>
      <c r="BA21" s="180"/>
      <c r="BB21" s="180"/>
      <c r="BC21" s="180"/>
      <c r="BD21" s="180"/>
      <c r="BE21" s="180"/>
      <c r="BF21" s="180"/>
      <c r="BG21" s="180"/>
      <c r="BH21" s="180"/>
      <c r="BI21" s="180"/>
      <c r="BJ21" s="180"/>
      <c r="BK21" s="180"/>
      <c r="BL21" s="180"/>
      <c r="BM21" s="180"/>
      <c r="BN21" s="180"/>
      <c r="BO21" s="180"/>
      <c r="BP21" s="180"/>
      <c r="BQ21" s="180"/>
      <c r="BR21" s="180"/>
      <c r="BS21" s="180"/>
      <c r="BT21" s="180"/>
      <c r="BU21" s="180"/>
      <c r="BV21" s="180"/>
      <c r="BW21" s="180"/>
      <c r="BX21" s="180"/>
      <c r="BY21" s="180"/>
      <c r="BZ21" s="180"/>
      <c r="CA21" s="180"/>
      <c r="CB21" s="180"/>
      <c r="CC21" s="180"/>
      <c r="CD21" s="180"/>
      <c r="CE21" s="180"/>
      <c r="CF21" s="180"/>
      <c r="CG21" s="180"/>
      <c r="CH21" s="180"/>
      <c r="CI21" s="180"/>
      <c r="CJ21" s="180"/>
      <c r="CK21" s="180"/>
      <c r="CL21" s="180"/>
      <c r="CM21" s="180"/>
      <c r="CN21" s="180"/>
      <c r="CO21" s="180"/>
      <c r="CP21" s="180"/>
      <c r="CQ21" s="180"/>
      <c r="CR21" s="180"/>
      <c r="CS21" s="180"/>
      <c r="CT21" s="180"/>
      <c r="CU21" s="180"/>
      <c r="CV21" s="180"/>
      <c r="CW21" s="180"/>
      <c r="CX21" s="180"/>
      <c r="CY21" s="180"/>
      <c r="CZ21" s="180"/>
      <c r="DA21" s="180"/>
      <c r="DB21" s="180"/>
      <c r="DC21" s="180"/>
      <c r="DD21" s="180"/>
      <c r="DE21" s="180"/>
      <c r="DF21" s="180"/>
      <c r="DG21" s="180"/>
      <c r="DH21" s="180"/>
      <c r="DI21" s="180"/>
      <c r="DJ21" s="180"/>
      <c r="DK21" s="180"/>
      <c r="DL21" s="180"/>
      <c r="DM21" s="180"/>
      <c r="DN21" s="180"/>
      <c r="DO21" s="180"/>
      <c r="DP21" s="180"/>
      <c r="DQ21" s="180"/>
      <c r="DR21" s="180"/>
      <c r="DS21" s="180"/>
      <c r="DT21" s="180"/>
      <c r="DU21" s="180"/>
      <c r="DV21" s="180"/>
      <c r="DW21" s="180"/>
      <c r="DX21" s="180"/>
      <c r="DY21" s="180"/>
      <c r="DZ21" s="180"/>
      <c r="EA21" s="180"/>
      <c r="EB21" s="180"/>
      <c r="EC21" s="180"/>
      <c r="ED21" s="180"/>
      <c r="EE21" s="180"/>
      <c r="EF21" s="180"/>
      <c r="EG21" s="180"/>
      <c r="EH21" s="180"/>
      <c r="EI21" s="180"/>
      <c r="EJ21" s="180"/>
      <c r="EK21" s="180"/>
      <c r="EL21" s="180"/>
      <c r="EM21" s="180"/>
      <c r="EN21" s="180"/>
      <c r="EO21" s="180"/>
      <c r="EP21" s="180"/>
      <c r="EQ21" s="180"/>
      <c r="ER21" s="180"/>
      <c r="ES21" s="180"/>
      <c r="ET21" s="180"/>
      <c r="EU21" s="180"/>
      <c r="EV21" s="180"/>
      <c r="EW21" s="180"/>
      <c r="EX21" s="180"/>
      <c r="EY21" s="180"/>
      <c r="EZ21" s="180"/>
      <c r="FA21" s="180"/>
      <c r="FB21" s="180"/>
      <c r="FC21" s="180"/>
      <c r="FD21" s="180"/>
      <c r="FE21" s="180"/>
      <c r="FF21" s="180"/>
      <c r="FG21" s="180"/>
      <c r="FH21" s="180"/>
      <c r="FI21" s="180"/>
      <c r="FJ21" s="180"/>
      <c r="FK21" s="180"/>
      <c r="FL21" s="180"/>
      <c r="FM21" s="180"/>
      <c r="FN21" s="180"/>
      <c r="FO21" s="180"/>
      <c r="FP21" s="180"/>
      <c r="FQ21" s="180"/>
      <c r="FR21" s="180"/>
      <c r="FS21" s="180"/>
      <c r="FT21" s="180"/>
      <c r="FU21" s="180"/>
      <c r="FV21" s="180"/>
      <c r="FW21" s="180"/>
      <c r="FX21" s="180"/>
      <c r="FY21" s="180"/>
      <c r="FZ21" s="180"/>
      <c r="GA21" s="180"/>
      <c r="GB21" s="180"/>
      <c r="GC21" s="180"/>
      <c r="GD21" s="180"/>
      <c r="GE21" s="180"/>
      <c r="GF21" s="180"/>
      <c r="GG21" s="180"/>
      <c r="GH21" s="180"/>
      <c r="GI21" s="180"/>
      <c r="GJ21" s="180"/>
      <c r="GK21" s="180"/>
      <c r="GL21" s="180"/>
    </row>
    <row r="26" spans="1:194" x14ac:dyDescent="0.3">
      <c r="I26" t="s">
        <v>111</v>
      </c>
    </row>
  </sheetData>
  <mergeCells count="138">
    <mergeCell ref="A6:B7"/>
    <mergeCell ref="FG5:GL5"/>
    <mergeCell ref="FG6:FJ6"/>
    <mergeCell ref="FK6:FN6"/>
    <mergeCell ref="FO6:FR6"/>
    <mergeCell ref="FS6:FV6"/>
    <mergeCell ref="FW6:FZ6"/>
    <mergeCell ref="GA6:GD6"/>
    <mergeCell ref="GE6:GH6"/>
    <mergeCell ref="GI6:GL6"/>
    <mergeCell ref="W6:Z6"/>
    <mergeCell ref="DK6:DN6"/>
    <mergeCell ref="DO6:DR6"/>
    <mergeCell ref="DS6:DV6"/>
    <mergeCell ref="EA5:FF5"/>
    <mergeCell ref="EA6:ED6"/>
    <mergeCell ref="EE6:EH6"/>
    <mergeCell ref="EI6:EL6"/>
    <mergeCell ref="EM6:EP6"/>
    <mergeCell ref="EQ6:ET6"/>
    <mergeCell ref="EU6:EX6"/>
    <mergeCell ref="EY6:FB6"/>
    <mergeCell ref="FC6:FF6"/>
    <mergeCell ref="DW6:DZ6"/>
    <mergeCell ref="CU5:DZ5"/>
    <mergeCell ref="CU6:CX6"/>
    <mergeCell ref="CY6:DB6"/>
    <mergeCell ref="DC6:DF6"/>
    <mergeCell ref="DG6:DJ6"/>
    <mergeCell ref="AI5:BN5"/>
    <mergeCell ref="AI6:AL6"/>
    <mergeCell ref="AM6:AP6"/>
    <mergeCell ref="AQ6:AT6"/>
    <mergeCell ref="AU6:AX6"/>
    <mergeCell ref="AY6:BB6"/>
    <mergeCell ref="BC6:BF6"/>
    <mergeCell ref="BG6:BJ6"/>
    <mergeCell ref="BK6:BN6"/>
    <mergeCell ref="BO5:CT5"/>
    <mergeCell ref="BO6:BR6"/>
    <mergeCell ref="BS6:BV6"/>
    <mergeCell ref="BW6:BZ6"/>
    <mergeCell ref="CA6:CD6"/>
    <mergeCell ref="CE6:CH6"/>
    <mergeCell ref="CI6:CL6"/>
    <mergeCell ref="CM6:CP6"/>
    <mergeCell ref="CQ6:CT6"/>
    <mergeCell ref="AE6:AH6"/>
    <mergeCell ref="S18:V18"/>
    <mergeCell ref="AE19:AH19"/>
    <mergeCell ref="AE20:AH20"/>
    <mergeCell ref="AE21:AH21"/>
    <mergeCell ref="A5:B5"/>
    <mergeCell ref="A8:A10"/>
    <mergeCell ref="C6:F6"/>
    <mergeCell ref="AA6:AD6"/>
    <mergeCell ref="G6:J6"/>
    <mergeCell ref="K6:N6"/>
    <mergeCell ref="O6:R6"/>
    <mergeCell ref="C5:AH5"/>
    <mergeCell ref="W18:Z18"/>
    <mergeCell ref="AA18:AD18"/>
    <mergeCell ref="C17:AH17"/>
    <mergeCell ref="AE18:AH18"/>
    <mergeCell ref="A19:A21"/>
    <mergeCell ref="A18:B18"/>
    <mergeCell ref="A17:B17"/>
    <mergeCell ref="G20:J20"/>
    <mergeCell ref="G21:J21"/>
    <mergeCell ref="K19:N19"/>
    <mergeCell ref="S6:V6"/>
    <mergeCell ref="AI17:BN17"/>
    <mergeCell ref="AI18:AL18"/>
    <mergeCell ref="AM18:AP18"/>
    <mergeCell ref="AQ18:AT18"/>
    <mergeCell ref="AU18:AX18"/>
    <mergeCell ref="AY18:BB18"/>
    <mergeCell ref="BC18:BF18"/>
    <mergeCell ref="BG18:BJ18"/>
    <mergeCell ref="BK18:BN18"/>
    <mergeCell ref="BO17:CT17"/>
    <mergeCell ref="BO18:BR18"/>
    <mergeCell ref="BS18:BV18"/>
    <mergeCell ref="BW18:BZ18"/>
    <mergeCell ref="CA18:CD18"/>
    <mergeCell ref="CE18:CH18"/>
    <mergeCell ref="CI18:CL18"/>
    <mergeCell ref="CM18:CP18"/>
    <mergeCell ref="CQ18:CT18"/>
    <mergeCell ref="CU17:DZ17"/>
    <mergeCell ref="EA17:FF17"/>
    <mergeCell ref="FG17:GL17"/>
    <mergeCell ref="CU18:CX18"/>
    <mergeCell ref="CY18:DB18"/>
    <mergeCell ref="DC18:DF18"/>
    <mergeCell ref="DG18:DJ18"/>
    <mergeCell ref="DK18:DN18"/>
    <mergeCell ref="DO18:DR18"/>
    <mergeCell ref="DS18:DV18"/>
    <mergeCell ref="FS18:FV18"/>
    <mergeCell ref="FW18:FZ18"/>
    <mergeCell ref="GA18:GD18"/>
    <mergeCell ref="GE18:GH18"/>
    <mergeCell ref="GI18:GL18"/>
    <mergeCell ref="FK18:FN18"/>
    <mergeCell ref="FO18:FR18"/>
    <mergeCell ref="C18:F18"/>
    <mergeCell ref="G18:J18"/>
    <mergeCell ref="K18:N18"/>
    <mergeCell ref="O18:R18"/>
    <mergeCell ref="EU18:EX18"/>
    <mergeCell ref="EY18:FB18"/>
    <mergeCell ref="FC18:FF18"/>
    <mergeCell ref="FG18:FJ18"/>
    <mergeCell ref="DW18:DZ18"/>
    <mergeCell ref="EA18:ED18"/>
    <mergeCell ref="EE18:EH18"/>
    <mergeCell ref="EI18:EL18"/>
    <mergeCell ref="EM18:EP18"/>
    <mergeCell ref="EQ18:ET18"/>
    <mergeCell ref="S20:V20"/>
    <mergeCell ref="S21:V21"/>
    <mergeCell ref="C20:F20"/>
    <mergeCell ref="C21:F21"/>
    <mergeCell ref="O19:R19"/>
    <mergeCell ref="O20:R20"/>
    <mergeCell ref="O21:R21"/>
    <mergeCell ref="AA19:AD19"/>
    <mergeCell ref="AA20:AD20"/>
    <mergeCell ref="AA21:AD21"/>
    <mergeCell ref="G19:J19"/>
    <mergeCell ref="S19:V19"/>
    <mergeCell ref="K20:N20"/>
    <mergeCell ref="K21:N21"/>
    <mergeCell ref="W20:Z20"/>
    <mergeCell ref="W21:Z21"/>
    <mergeCell ref="C19:F19"/>
    <mergeCell ref="W19:Z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2:F11"/>
  <sheetViews>
    <sheetView tabSelected="1" zoomScaleNormal="100" workbookViewId="0">
      <selection activeCell="I10" sqref="I10"/>
    </sheetView>
  </sheetViews>
  <sheetFormatPr baseColWidth="10" defaultRowHeight="14.4" x14ac:dyDescent="0.3"/>
  <cols>
    <col min="1" max="1" width="14.6640625" customWidth="1"/>
    <col min="2" max="2" width="60.44140625" bestFit="1" customWidth="1"/>
    <col min="3" max="3" width="6" bestFit="1" customWidth="1"/>
    <col min="4" max="4" width="7" bestFit="1" customWidth="1"/>
    <col min="5" max="5" width="8" bestFit="1" customWidth="1"/>
    <col min="6" max="6" width="6" bestFit="1" customWidth="1"/>
  </cols>
  <sheetData>
    <row r="2" spans="1:6" x14ac:dyDescent="0.3">
      <c r="F2" s="205" t="s">
        <v>177</v>
      </c>
    </row>
    <row r="5" spans="1:6" ht="23.4" x14ac:dyDescent="0.3">
      <c r="A5" s="348" t="s">
        <v>134</v>
      </c>
      <c r="B5" s="348"/>
      <c r="C5" s="349" t="str">
        <f>'registro de lectura'!O7</f>
        <v>5°</v>
      </c>
      <c r="D5" s="349"/>
      <c r="E5" s="349"/>
      <c r="F5" s="349"/>
    </row>
    <row r="6" spans="1:6" ht="27" customHeight="1" x14ac:dyDescent="0.3">
      <c r="A6" s="348"/>
      <c r="B6" s="348"/>
      <c r="C6" s="347" t="str">
        <f>'registro de lectura'!O8</f>
        <v>A</v>
      </c>
      <c r="D6" s="347"/>
      <c r="E6" s="347"/>
      <c r="F6" s="347"/>
    </row>
    <row r="7" spans="1:6" ht="14.4" customHeight="1" x14ac:dyDescent="0.3">
      <c r="A7" s="351" t="s">
        <v>90</v>
      </c>
      <c r="B7" s="350" t="s">
        <v>178</v>
      </c>
      <c r="C7" s="190" t="s">
        <v>133</v>
      </c>
      <c r="D7" s="190" t="s">
        <v>131</v>
      </c>
      <c r="E7" s="189" t="s">
        <v>0</v>
      </c>
      <c r="F7" s="188" t="s">
        <v>130</v>
      </c>
    </row>
    <row r="8" spans="1:6" ht="18.75" customHeight="1" x14ac:dyDescent="0.3">
      <c r="A8" s="351"/>
      <c r="B8" s="352" t="s">
        <v>141</v>
      </c>
      <c r="C8" s="204">
        <f>COUNTIF('registro de matemática'!$H$73:$H$112,"&lt;0.5")/'registro de matemática'!$AC$8</f>
        <v>0.26666666666666666</v>
      </c>
      <c r="D8" s="204">
        <f>COUNTIFS('registro de matemática'!$H$73:$H$112,"&gt;=0.5",'registro de matemática'!$H$73:$H$112,"&lt;0.7")/'registro de matemática'!$AC$8</f>
        <v>0.43333333333333335</v>
      </c>
      <c r="E8" s="204">
        <f>COUNTIFS('registro de matemática'!$H$73:$H$112,"&gt;=0.7",'registro de matemática'!$H$73:$H$112,"&lt;0.85")/'registro de matemática'!$AC$8</f>
        <v>0.16666666666666666</v>
      </c>
      <c r="F8" s="204">
        <f>COUNTIF('registro de matemática'!$H$73:$H$112,"&gt;=0.85")/'registro de matemática'!$AC$8</f>
        <v>0.13333333333333333</v>
      </c>
    </row>
    <row r="9" spans="1:6" ht="18" customHeight="1" x14ac:dyDescent="0.3">
      <c r="A9" s="351"/>
      <c r="B9" s="186" t="s">
        <v>145</v>
      </c>
      <c r="C9" s="204">
        <f>COUNTIF('registro de matemática'!$M$73:$M$112,"&lt;0.5")/'registro de matemática'!$AC$8</f>
        <v>0.26666666666666666</v>
      </c>
      <c r="D9" s="204">
        <f>COUNTIFS('registro de matemática'!$M$73:$M$112,"&gt;=0.5",'registro de matemática'!$M$73:$M$112,"&lt;0.7")/'registro de matemática'!$AC$8</f>
        <v>0.3</v>
      </c>
      <c r="E9" s="204">
        <f>COUNTIFS('registro de matemática'!$M$73:$M$112,"&gt;=0.7",'registro de matemática'!$M$73:$M$112,"&lt;0.85")/'registro de matemática'!$AC$8</f>
        <v>0.13333333333333333</v>
      </c>
      <c r="F9" s="204">
        <f>COUNTIF('registro de matemática'!$M$73:$M$112,"&gt;=0.85")/'registro de matemática'!$AC$8</f>
        <v>0.3</v>
      </c>
    </row>
    <row r="10" spans="1:6" ht="19.5" customHeight="1" x14ac:dyDescent="0.3">
      <c r="A10" s="351"/>
      <c r="B10" s="186" t="s">
        <v>142</v>
      </c>
      <c r="C10" s="204">
        <f>COUNTIF('registro de matemática'!$R$73:$R$112,"&lt;0.5")/'registro de matemática'!$AC$8</f>
        <v>0.46666666666666667</v>
      </c>
      <c r="D10" s="204">
        <f>COUNTIFS('registro de matemática'!$R$73:$R$112,"&gt;=0.5",'registro de matemática'!$R$73:$R$112,"&lt;0.7")/'registro de matemática'!$AC$8</f>
        <v>0.36666666666666664</v>
      </c>
      <c r="E10" s="204">
        <f>COUNTIFS('registro de matemática'!$R$73:$R$112,"&gt;=0.7",'registro de matemática'!$R$73:$R$112,"&lt;0.85")/'registro de matemática'!$AC$8</f>
        <v>0.16666666666666666</v>
      </c>
      <c r="F10" s="204">
        <f>COUNTIF('registro de matemática'!$R$73:$R$112,"&gt;=0.85")/'registro de matemática'!$AC$8</f>
        <v>0</v>
      </c>
    </row>
    <row r="11" spans="1:6" x14ac:dyDescent="0.3">
      <c r="A11" s="351"/>
      <c r="B11" s="180" t="s">
        <v>143</v>
      </c>
      <c r="C11" s="204">
        <f>COUNTIF('registro de matemática'!$W$73:$W$112,"&lt;0.5")/'registro de matemática'!$AC$8</f>
        <v>3.3333333333333333E-2</v>
      </c>
      <c r="D11" s="204">
        <f>COUNTIFS('registro de matemática'!$W$73:$W$112,"&gt;=0.5",'registro de matemática'!$W$73:$W$112,"&lt;0.7")/'registro de matemática'!$AC$8</f>
        <v>0.4</v>
      </c>
      <c r="E11" s="204">
        <f>COUNTIFS('registro de matemática'!$W$73:$W$112,"&gt;=0.7",'registro de matemática'!$W$73:$W$112,"&lt;0.85")/'registro de matemática'!$AC$8</f>
        <v>0.33333333333333331</v>
      </c>
      <c r="F11" s="204">
        <f>COUNTIF('registro de matemática'!$W$73:$W$112,"&gt;=0.85")/'registro de matemática'!$AC$8</f>
        <v>0.23333333333333334</v>
      </c>
    </row>
  </sheetData>
  <mergeCells count="4">
    <mergeCell ref="A5:B6"/>
    <mergeCell ref="A7:A11"/>
    <mergeCell ref="C5:F5"/>
    <mergeCell ref="C6:F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registro de lectura</vt:lpstr>
      <vt:lpstr>resumen estadistico Lectura</vt:lpstr>
      <vt:lpstr>registro de matemática</vt:lpstr>
      <vt:lpstr>DIRECTOR LECTURA</vt:lpstr>
      <vt:lpstr>DIRECTOR MATEMATICA</vt:lpstr>
      <vt:lpstr>resumen estadistico matematica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ENVY</dc:creator>
  <cp:lastModifiedBy>GONASCAR</cp:lastModifiedBy>
  <dcterms:created xsi:type="dcterms:W3CDTF">2022-08-30T20:28:20Z</dcterms:created>
  <dcterms:modified xsi:type="dcterms:W3CDTF">2022-12-26T21:27:39Z</dcterms:modified>
</cp:coreProperties>
</file>